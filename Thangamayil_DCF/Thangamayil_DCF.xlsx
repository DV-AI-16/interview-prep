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D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₹&quot;#,##0;(&quot;₹&quot;#,##0);&quot;–&quot;"/>
    <numFmt numFmtId="165" formatCode="#,##0.00;(#,##0.00);&quot;–&quot;"/>
    <numFmt numFmtId="166" formatCode="#,##0;(#,##0);&quot;–&quot;"/>
    <numFmt numFmtId="167" formatCode="0.00%;(0.00%);&quot;–&quot;"/>
    <numFmt numFmtId="168" formatCode="0.0%;(0.0%);&quot;–&quot;"/>
  </numFmts>
  <fonts count="16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808080"/>
      <sz val="10"/>
    </font>
    <font>
      <name val="Calibri"/>
      <b val="1"/>
      <color rgb="FFFFFFFF"/>
      <sz val="11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color rgb="FF0000FF"/>
      <sz val="10"/>
    </font>
    <font>
      <name val="Calibri"/>
      <i val="1"/>
      <color rgb="FF808080"/>
      <sz val="9"/>
    </font>
    <font>
      <name val="Calibri"/>
      <i val="1"/>
      <color rgb="FFC00000"/>
      <sz val="9"/>
    </font>
    <font>
      <name val="Calibri"/>
      <b val="1"/>
      <color rgb="FF1F3864"/>
      <sz val="11"/>
    </font>
    <font>
      <name val="Calibri"/>
      <color rgb="FF006100"/>
      <sz val="10"/>
    </font>
    <font>
      <b val="1"/>
      <color rgb="FFFFFFFF"/>
      <sz val="20"/>
    </font>
    <font>
      <i val="1"/>
      <color rgb="FFFFFFFF"/>
      <sz val="12"/>
    </font>
    <font>
      <b val="1"/>
      <color rgb="FF0000FF"/>
      <sz val="10"/>
    </font>
    <font>
      <b val="1"/>
      <color rgb="FF000000"/>
      <sz val="10"/>
    </font>
    <font>
      <b val="1"/>
      <color rgb="FF006100"/>
      <sz val="10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2" borderId="0" pivotButton="0" quotePrefix="0" xfId="0"/>
    <xf numFmtId="0" fontId="11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left" vertical="center"/>
    </xf>
    <xf numFmtId="0" fontId="3" fillId="2" borderId="0" pivotButton="0" quotePrefix="0" xfId="0"/>
    <xf numFmtId="0" fontId="4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7" fontId="10" fillId="0" borderId="1" applyAlignment="1" pivotButton="0" quotePrefix="0" xfId="0">
      <alignment horizontal="right" vertical="center"/>
    </xf>
    <xf numFmtId="168" fontId="10" fillId="0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168" fontId="10" fillId="3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167" fontId="6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168" fontId="6" fillId="0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7" fontId="5" fillId="5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8" fontId="6" fillId="4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  <xf numFmtId="0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right" vertical="center"/>
    </xf>
    <xf numFmtId="0" fontId="9" fillId="7" borderId="0" pivotButton="0" quotePrefix="0" xfId="0"/>
    <xf numFmtId="0" fontId="0" fillId="7" borderId="0" pivotButton="0" quotePrefix="0" xfId="0"/>
    <xf numFmtId="0" fontId="5" fillId="4" borderId="0" applyAlignment="1" pivotButton="0" quotePrefix="0" xfId="0">
      <alignment horizontal="center" vertical="center"/>
    </xf>
    <xf numFmtId="168" fontId="5" fillId="0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166" fontId="5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7" fontId="10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168" fontId="4" fillId="7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" customWidth="1" min="7" max="7"/>
  </cols>
  <sheetData>
    <row r="2">
      <c r="A2" s="1" t="n"/>
      <c r="B2" s="2" t="inlineStr">
        <is>
          <t>THANGAMAYIL JEWELLERY LIMITED</t>
        </is>
      </c>
      <c r="G2" s="1" t="n"/>
    </row>
    <row r="3">
      <c r="A3" s="1" t="n"/>
      <c r="B3" s="3" t="inlineStr">
        <is>
          <t>Buy-Side Equity DCF Valuation</t>
        </is>
      </c>
      <c r="G3" s="1" t="n"/>
    </row>
    <row r="5">
      <c r="B5" s="4" t="inlineStr">
        <is>
          <t>NSE Ticker</t>
        </is>
      </c>
      <c r="C5" s="5" t="inlineStr">
        <is>
          <t>THANGAMAYL</t>
        </is>
      </c>
    </row>
    <row r="6">
      <c r="B6" s="4" t="inlineStr">
        <is>
          <t>BSE Code</t>
        </is>
      </c>
      <c r="C6" s="5" t="inlineStr">
        <is>
          <t>533158</t>
        </is>
      </c>
    </row>
    <row r="7">
      <c r="B7" s="4" t="inlineStr">
        <is>
          <t>Sector</t>
        </is>
      </c>
      <c r="C7" s="5" t="inlineStr">
        <is>
          <t>Consumer Durables — Jewellery Retail</t>
        </is>
      </c>
    </row>
    <row r="8">
      <c r="B8" s="4" t="inlineStr">
        <is>
          <t>Valuation date</t>
        </is>
      </c>
      <c r="C8" s="5" t="inlineStr">
        <is>
          <t>25-Jun-2026</t>
        </is>
      </c>
    </row>
    <row r="9">
      <c r="B9" s="4" t="inlineStr">
        <is>
          <t>Methodology</t>
        </is>
      </c>
      <c r="C9" s="5" t="inlineStr">
        <is>
          <t>FCFF, 10-yr explicit + GGM terminal</t>
        </is>
      </c>
    </row>
    <row r="10">
      <c r="B10" s="4" t="inlineStr">
        <is>
          <t>Current Market Price</t>
        </is>
      </c>
      <c r="C10" s="6">
        <f>DCF!D83</f>
        <v/>
      </c>
    </row>
    <row r="12">
      <c r="B12" s="7" t="inlineStr">
        <is>
          <t>SCENARIO SUMMARY</t>
        </is>
      </c>
    </row>
    <row r="13">
      <c r="B13" s="8" t="inlineStr"/>
      <c r="C13" s="9" t="inlineStr">
        <is>
          <t>Bear</t>
        </is>
      </c>
      <c r="D13" s="10" t="inlineStr">
        <is>
          <t>Base</t>
        </is>
      </c>
      <c r="E13" s="11" t="inlineStr">
        <is>
          <t>Bull</t>
        </is>
      </c>
    </row>
    <row r="14">
      <c r="B14" s="5" t="inlineStr">
        <is>
          <t>WACC</t>
        </is>
      </c>
      <c r="C14" s="12">
        <f>DCF!C74</f>
        <v/>
      </c>
      <c r="D14" s="12">
        <f>DCF!D74</f>
        <v/>
      </c>
      <c r="E14" s="12">
        <f>DCF!E74</f>
        <v/>
      </c>
    </row>
    <row r="15">
      <c r="B15" s="5" t="inlineStr">
        <is>
          <t>Terminal growth (g)</t>
        </is>
      </c>
      <c r="C15" s="13">
        <f>DCF!C73</f>
        <v/>
      </c>
      <c r="D15" s="13">
        <f>DCF!D73</f>
        <v/>
      </c>
      <c r="E15" s="13">
        <f>DCF!E73</f>
        <v/>
      </c>
    </row>
    <row r="16">
      <c r="B16" s="5" t="inlineStr">
        <is>
          <t>Enterprise Value (₹ Cr)</t>
        </is>
      </c>
      <c r="C16" s="14">
        <f>DCF!C78</f>
        <v/>
      </c>
      <c r="D16" s="14">
        <f>DCF!D78</f>
        <v/>
      </c>
      <c r="E16" s="14">
        <f>DCF!E78</f>
        <v/>
      </c>
    </row>
    <row r="17">
      <c r="B17" s="5" t="inlineStr">
        <is>
          <t>Equity Value (₹ Cr)</t>
        </is>
      </c>
      <c r="C17" s="14">
        <f>DCF!C80</f>
        <v/>
      </c>
      <c r="D17" s="14">
        <f>DCF!D80</f>
        <v/>
      </c>
      <c r="E17" s="14">
        <f>DCF!E80</f>
        <v/>
      </c>
    </row>
    <row r="18">
      <c r="B18" s="5" t="inlineStr">
        <is>
          <t>Implied value / share (₹)</t>
        </is>
      </c>
      <c r="C18" s="15">
        <f>DCF!C82</f>
        <v/>
      </c>
      <c r="D18" s="15">
        <f>DCF!D82</f>
        <v/>
      </c>
      <c r="E18" s="15">
        <f>DCF!E82</f>
        <v/>
      </c>
    </row>
    <row r="19">
      <c r="B19" s="5" t="inlineStr">
        <is>
          <t>Upside / (Downside) %</t>
        </is>
      </c>
      <c r="C19" s="16">
        <f>DCF!C84</f>
        <v/>
      </c>
      <c r="D19" s="16">
        <f>DCF!D84</f>
        <v/>
      </c>
      <c r="E19" s="16">
        <f>DCF!E84</f>
        <v/>
      </c>
    </row>
    <row r="21">
      <c r="B21" s="7" t="inlineStr">
        <is>
          <t>KEY OBSERVATIONS</t>
        </is>
      </c>
    </row>
    <row r="22" ht="30" customHeight="1">
      <c r="B22" s="17" t="inlineStr">
        <is>
          <t>• FY26 revenue (₹8,514 Cr, +73% YoY) was amplified by record gold prices; forecasts normalise growth toward terminal rates.</t>
        </is>
      </c>
    </row>
    <row r="23" ht="30" customHeight="1">
      <c r="B23" s="17" t="inlineStr">
        <is>
          <t>• The stock rose ~200% in 12 months and trades at ~49x earnings; the exchange sought a price-movement clarification in Jun-2026.</t>
        </is>
      </c>
    </row>
    <row r="24" ht="30" customHeight="1">
      <c r="B24" s="17" t="inlineStr">
        <is>
          <t>• Jewellery is structurally low-margin (EBITDA ~7%) and working-capital heavy (gold ~142 inventory-days), so FCFF conversion is modest.</t>
        </is>
      </c>
    </row>
    <row r="25" ht="30" customHeight="1">
      <c r="B25" s="17" t="inlineStr">
        <is>
          <t>• Company is in NET DEBT (~₹789 Cr), which reduces equity value below EV.</t>
        </is>
      </c>
    </row>
    <row r="26" ht="30" customHeight="1">
      <c r="B26" s="17" t="inlineStr">
        <is>
          <t>• All three DCF scenarios imply intrinsic value well below CMP; the reverse DCF shows the market is pricing FCFF far above the explicit model.</t>
        </is>
      </c>
    </row>
    <row r="27" ht="30" customHeight="1">
      <c r="B27" s="17" t="inlineStr">
        <is>
          <t>• Inputs are sourced from public filings/aggregators; FY26 cash balance and beta are flagged [ESTIMATED]. Tune blue cells on Assumptions to test views.</t>
        </is>
      </c>
    </row>
    <row r="29">
      <c r="B29" s="7" t="inlineStr">
        <is>
          <t>COLOUR LEGEND</t>
        </is>
      </c>
    </row>
    <row r="30">
      <c r="B30" s="18" t="inlineStr">
        <is>
          <t>Blue font</t>
        </is>
      </c>
      <c r="C30" s="5" t="inlineStr">
        <is>
          <t>Hardcoded input (Assumptions sheet only)</t>
        </is>
      </c>
    </row>
    <row r="31">
      <c r="B31" s="19" t="inlineStr">
        <is>
          <t>Black font</t>
        </is>
      </c>
      <c r="C31" s="5" t="inlineStr">
        <is>
          <t>Formula referencing the same sheet</t>
        </is>
      </c>
    </row>
    <row r="32">
      <c r="B32" s="20" t="inlineStr">
        <is>
          <t>Green font</t>
        </is>
      </c>
      <c r="C32" s="5" t="inlineStr">
        <is>
          <t>Cross-sheet link</t>
        </is>
      </c>
    </row>
    <row r="33">
      <c r="B33" s="21" t="inlineStr">
        <is>
          <t>Yellow fill</t>
        </is>
      </c>
      <c r="C33" s="5" t="inlineStr">
        <is>
          <t>Key output cell</t>
        </is>
      </c>
    </row>
    <row r="34">
      <c r="B34" s="22" t="inlineStr">
        <is>
          <t>Negatives shown in (parentheses); zeros shown as “–”.</t>
        </is>
      </c>
    </row>
    <row r="36">
      <c r="B36" s="7" t="inlineStr">
        <is>
          <t>SOURCES &amp; FLAGS</t>
        </is>
      </c>
    </row>
    <row r="37">
      <c r="B37" s="23" t="inlineStr">
        <is>
          <t>• Financials: screener.in / ETMoney / Rediff Money (standalone, FY25 &amp; FY26, ₹ Cr).</t>
        </is>
      </c>
    </row>
    <row r="38">
      <c r="B38" s="23" t="inlineStr">
        <is>
          <t>• FY2025 Annual Report is the latest filed on BSE; FY26 figures from announced results.</t>
        </is>
      </c>
    </row>
    <row r="39">
      <c r="B39" s="23" t="inlineStr">
        <is>
          <t>• Rf: India 10-yr G-Sec 6.77% (TradingEconomics, 25-Jun-2026).</t>
        </is>
      </c>
    </row>
    <row r="40">
      <c r="B40" s="23" t="inlineStr">
        <is>
          <t>• ERP: Damodaran India total ERP 8.49% (Jan-2026 update).</t>
        </is>
      </c>
    </row>
    <row r="41">
      <c r="B41" s="23" t="inlineStr">
        <is>
          <t>• Beta: [ESTIMATED] — Yahoo 5Y-monthly 0.98 used as proxy for 2-yr weekly vs Nifty.</t>
        </is>
      </c>
    </row>
    <row r="42">
      <c r="B42" s="23" t="inlineStr">
        <is>
          <t>• FY26 Cash ₹124 Cr: [ESTIMATED] — FY25 close ₹88.6 Cr + FY26 net cash flow +₹36 Cr.</t>
        </is>
      </c>
    </row>
    <row r="43">
      <c r="B43" s="23" t="inlineStr">
        <is>
          <t>• CMP ₹5,594: NSE/BSE close 25-Jun-2026.</t>
        </is>
      </c>
    </row>
  </sheetData>
  <mergeCells count="29">
    <mergeCell ref="C8:F8"/>
    <mergeCell ref="B25:F25"/>
    <mergeCell ref="B3:F3"/>
    <mergeCell ref="C7:F7"/>
    <mergeCell ref="B22:F22"/>
    <mergeCell ref="C32:F32"/>
    <mergeCell ref="B27:F27"/>
    <mergeCell ref="B36:E36"/>
    <mergeCell ref="B43:F43"/>
    <mergeCell ref="B39:F39"/>
    <mergeCell ref="B2:F2"/>
    <mergeCell ref="B42:F42"/>
    <mergeCell ref="C6:F6"/>
    <mergeCell ref="C30:F30"/>
    <mergeCell ref="B23:F23"/>
    <mergeCell ref="C33:F33"/>
    <mergeCell ref="C5:F5"/>
    <mergeCell ref="B38:F38"/>
    <mergeCell ref="B34:F34"/>
    <mergeCell ref="B12:E12"/>
    <mergeCell ref="B21:E21"/>
    <mergeCell ref="B37:F37"/>
    <mergeCell ref="B40:F40"/>
    <mergeCell ref="C9:F9"/>
    <mergeCell ref="C31:F31"/>
    <mergeCell ref="B24:F24"/>
    <mergeCell ref="B29:E29"/>
    <mergeCell ref="B26:F26"/>
    <mergeCell ref="B41:F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3" customWidth="1" min="4" max="4"/>
    <col width="13" customWidth="1" min="5" max="5"/>
    <col width="4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46" customWidth="1" min="14" max="14"/>
  </cols>
  <sheetData>
    <row r="1">
      <c r="A1" s="24" t="inlineStr">
        <is>
          <t>THANGAMAYIL JEWELLERY LTD  —  DCF ASSUMPTIONS</t>
        </is>
      </c>
    </row>
    <row r="2">
      <c r="A2" s="25" t="inlineStr">
        <is>
          <t>NSE: THANGAMAYL | BSE: 533158 | Sector: Consumer Durables – Jewellery Retail | All figures ₹ Crore unless stated | Currency: INR</t>
        </is>
      </c>
    </row>
    <row r="4">
      <c r="A4" s="7" t="inlineStr">
        <is>
          <t>A.  MARKET &amp; COMPANY DATA  (Actuals)</t>
        </is>
      </c>
    </row>
    <row r="5">
      <c r="B5" s="26" t="inlineStr">
        <is>
          <t>Value</t>
        </is>
      </c>
      <c r="F5" s="4" t="inlineStr">
        <is>
          <t>Rationale / Source</t>
        </is>
      </c>
    </row>
    <row r="6">
      <c r="A6" s="5" t="inlineStr">
        <is>
          <t>Valuation date</t>
        </is>
      </c>
      <c r="B6" s="27" t="inlineStr">
        <is>
          <t>25-Jun-2026</t>
        </is>
      </c>
      <c r="F6" s="23" t="inlineStr">
        <is>
          <t>Last NSE/BSE close used as CMP reference.</t>
        </is>
      </c>
    </row>
    <row r="7">
      <c r="A7" s="5" t="inlineStr">
        <is>
          <t>Current Market Price (₹/share)</t>
        </is>
      </c>
      <c r="B7" s="28" t="n">
        <v>5594</v>
      </c>
      <c r="F7" s="23" t="inlineStr">
        <is>
          <t>Close 25-Jun-2026 (screener.in / ETMoney). 52-wk range ₹1,750–5,765.</t>
        </is>
      </c>
    </row>
    <row r="8">
      <c r="A8" s="5" t="inlineStr">
        <is>
          <t>Diluted shares outstanding (Cr)</t>
        </is>
      </c>
      <c r="B8" s="29" t="n">
        <v>3.108</v>
      </c>
      <c r="F8" s="23" t="inlineStr">
        <is>
          <t>Equity capital ₹31.08 Cr @ FV ₹10 = 3.108 Cr shares (screener.in).</t>
        </is>
      </c>
    </row>
    <row r="9">
      <c r="A9" s="5" t="inlineStr">
        <is>
          <t>FY26 Revenue (Actual)</t>
        </is>
      </c>
      <c r="B9" s="30" t="n">
        <v>8514</v>
      </c>
      <c r="F9" s="23" t="inlineStr">
        <is>
          <t>FY26 (yr-end Mar-2026) standalone net sales (screener.in / ETMoney).</t>
        </is>
      </c>
    </row>
    <row r="10">
      <c r="A10" s="5" t="inlineStr">
        <is>
          <t>FY25 Revenue (Actual)</t>
        </is>
      </c>
      <c r="B10" s="30" t="n">
        <v>4911</v>
      </c>
      <c r="F10" s="23" t="inlineStr">
        <is>
          <t>FY25 standalone net sales (screener.in).</t>
        </is>
      </c>
    </row>
    <row r="11">
      <c r="A11" s="5" t="inlineStr">
        <is>
          <t>FY26 EBITDA (Actual)</t>
        </is>
      </c>
      <c r="B11" s="30" t="n">
        <v>579</v>
      </c>
      <c r="F11" s="23" t="inlineStr">
        <is>
          <t>FY26 operating profit = sales − operating expenses (screener.in). OPM 6.8%.</t>
        </is>
      </c>
    </row>
    <row r="12">
      <c r="A12" s="5" t="inlineStr">
        <is>
          <t>FY25 EBITDA (Actual)</t>
        </is>
      </c>
      <c r="B12" s="30" t="n">
        <v>219</v>
      </c>
      <c r="F12" s="23" t="inlineStr">
        <is>
          <t>FY25 operating profit (screener.in). OPM 4.5%.</t>
        </is>
      </c>
    </row>
    <row r="13">
      <c r="A13" s="5" t="inlineStr">
        <is>
          <t>FY26 D&amp;A (Actual)</t>
        </is>
      </c>
      <c r="B13" s="30" t="n">
        <v>40</v>
      </c>
      <c r="F13" s="23" t="inlineStr">
        <is>
          <t>FY26 depreciation &amp; amortisation (screener.in). ~0.5% of sales.</t>
        </is>
      </c>
    </row>
    <row r="14">
      <c r="A14" s="5" t="inlineStr">
        <is>
          <t>Total Debt – FY26 (Actual)</t>
        </is>
      </c>
      <c r="B14" s="30" t="n">
        <v>913</v>
      </c>
      <c r="F14" s="23" t="inlineStr">
        <is>
          <t>FY26 total borrowings (screener.in). D/E 0.64 (matches AngelOne).</t>
        </is>
      </c>
    </row>
    <row r="15">
      <c r="A15" s="5" t="inlineStr">
        <is>
          <t>Cash &amp; Equivalents – FY26</t>
        </is>
      </c>
      <c r="B15" s="30" t="n">
        <v>124</v>
      </c>
      <c r="F15" s="23" t="inlineStr">
        <is>
          <t>[ESTIMATED — basis: FY25 close ₹88.6 Cr (Rediff CF) + FY26 net cash flow +₹36 Cr]. FY26 balance-sheet not yet filed; FY25 AR is latest on BSE.</t>
        </is>
      </c>
    </row>
    <row r="16">
      <c r="A16" s="4" t="inlineStr">
        <is>
          <t>Net Cash  (= Cash − Total Debt)</t>
        </is>
      </c>
      <c r="B16" s="31">
        <f>B15-B14</f>
        <v/>
      </c>
      <c r="F16" s="23" t="inlineStr">
        <is>
          <t>Negative ⇒ company is in NET DEBT; reduces equity value.</t>
        </is>
      </c>
    </row>
    <row r="18">
      <c r="A18" s="7" t="inlineStr">
        <is>
          <t>B.  WACC BUILD  (market-value weighted, CAPM)</t>
        </is>
      </c>
    </row>
    <row r="19">
      <c r="A19" s="4" t="inlineStr">
        <is>
          <t>Driver</t>
        </is>
      </c>
      <c r="C19" s="32" t="inlineStr">
        <is>
          <t>Bear</t>
        </is>
      </c>
      <c r="D19" s="33" t="inlineStr">
        <is>
          <t>Base</t>
        </is>
      </c>
      <c r="E19" s="34" t="inlineStr">
        <is>
          <t>Bull</t>
        </is>
      </c>
      <c r="F19" s="4" t="inlineStr">
        <is>
          <t>Rationale / Source</t>
        </is>
      </c>
    </row>
    <row r="20">
      <c r="A20" s="5" t="inlineStr">
        <is>
          <t>Risk-free rate (Rf)</t>
        </is>
      </c>
      <c r="C20" s="35" t="n">
        <v>0.068</v>
      </c>
      <c r="D20" s="35" t="n">
        <v>0.068</v>
      </c>
      <c r="E20" s="35" t="n">
        <v>0.068</v>
      </c>
      <c r="F20" s="23" t="inlineStr">
        <is>
          <t>India 10-yr G-Sec yield 6.77% on 25-Jun-2026 (TradingEconomics); benchmark 6.94% 2036 ~6.84%.</t>
        </is>
      </c>
    </row>
    <row r="21">
      <c r="A21" s="5" t="inlineStr">
        <is>
          <t>Equity risk premium (ERP)</t>
        </is>
      </c>
      <c r="C21" s="35" t="n">
        <v>0.0849</v>
      </c>
      <c r="D21" s="35" t="n">
        <v>0.0849</v>
      </c>
      <c r="E21" s="35" t="n">
        <v>0.0849</v>
      </c>
      <c r="F21" s="23" t="inlineStr">
        <is>
          <t>Damodaran India TOTAL ERP, Jan-2026 update (mature 4.74% + India CRP 3.75%).</t>
        </is>
      </c>
    </row>
    <row r="22">
      <c r="A22" s="5" t="inlineStr">
        <is>
          <t>Beta (levered)</t>
        </is>
      </c>
      <c r="C22" s="29" t="n">
        <v>1.1</v>
      </c>
      <c r="D22" s="29" t="n">
        <v>1</v>
      </c>
      <c r="E22" s="29" t="n">
        <v>0.9</v>
      </c>
      <c r="F22" s="23" t="inlineStr">
        <is>
          <t>[ESTIMATED — basis: Yahoo 5Y-monthly β 0.98]. 2-yr weekly vs Nifty not directly sourceable; scenario-flexed ±0.10 for cyclicality of gold demand.</t>
        </is>
      </c>
    </row>
    <row r="23">
      <c r="A23" s="5" t="inlineStr">
        <is>
          <t>Cost of equity (Ke = Rf+β·ERP)</t>
        </is>
      </c>
      <c r="C23" s="36">
        <f>C20+C22*C21</f>
        <v/>
      </c>
      <c r="D23" s="36">
        <f>D20+D22*D21</f>
        <v/>
      </c>
      <c r="E23" s="36">
        <f>E20+E22*E21</f>
        <v/>
      </c>
      <c r="F23" s="23" t="inlineStr">
        <is>
          <t>CAPM. Black = same-sheet formula.</t>
        </is>
      </c>
    </row>
    <row r="24">
      <c r="A24" s="5" t="inlineStr">
        <is>
          <t>Pre-tax cost of debt (Kd)</t>
        </is>
      </c>
      <c r="C24" s="35" t="n">
        <v>0.08</v>
      </c>
      <c r="D24" s="35" t="n">
        <v>0.08</v>
      </c>
      <c r="E24" s="35" t="n">
        <v>0.08</v>
      </c>
      <c r="F24" s="23" t="inlineStr">
        <is>
          <t>FY26 interest ₹68 Cr / avg debt ₹855 Cr = 7.95% (screener.in).</t>
        </is>
      </c>
    </row>
    <row r="25">
      <c r="A25" s="5" t="inlineStr">
        <is>
          <t>Tax rate</t>
        </is>
      </c>
      <c r="C25" s="37" t="n">
        <v>0.25</v>
      </c>
      <c r="D25" s="37" t="n">
        <v>0.25</v>
      </c>
      <c r="E25" s="37" t="n">
        <v>0.25</v>
      </c>
      <c r="F25" s="23" t="inlineStr">
        <is>
          <t>Effective tax FY26 25% / FY25 26% (screener.in); India concessional regime ~25.17%.</t>
        </is>
      </c>
    </row>
    <row r="26">
      <c r="A26" s="5" t="inlineStr">
        <is>
          <t>After-tax Kd = Kd·(1−tax)</t>
        </is>
      </c>
      <c r="C26" s="36">
        <f>C24*(1-C25)</f>
        <v/>
      </c>
      <c r="D26" s="36">
        <f>D24*(1-D25)</f>
        <v/>
      </c>
      <c r="E26" s="36">
        <f>E24*(1-E25)</f>
        <v/>
      </c>
      <c r="F26" s="23" t="inlineStr">
        <is>
          <t>Same-sheet formula.</t>
        </is>
      </c>
    </row>
    <row r="27">
      <c r="A27" s="5" t="inlineStr">
        <is>
          <t>Weight of equity (We)</t>
        </is>
      </c>
      <c r="C27" s="37" t="n">
        <v>0.95</v>
      </c>
      <c r="D27" s="37" t="n">
        <v>0.95</v>
      </c>
      <c r="E27" s="37" t="n">
        <v>0.95</v>
      </c>
      <c r="F27" s="23" t="inlineStr">
        <is>
          <t>Market value: equity = mkt-cap ₹17,388 Cr; debt ₹913 Cr ⇒ We 95.0%.</t>
        </is>
      </c>
    </row>
    <row r="28">
      <c r="A28" s="5" t="inlineStr">
        <is>
          <t>Weight of debt (Wd)</t>
        </is>
      </c>
      <c r="C28" s="37" t="n">
        <v>0.05</v>
      </c>
      <c r="D28" s="37" t="n">
        <v>0.05</v>
      </c>
      <c r="E28" s="37" t="n">
        <v>0.05</v>
      </c>
      <c r="F28" s="23" t="inlineStr">
        <is>
          <t>Debt ₹913 Cr / (17,388+913) = 5.0%.</t>
        </is>
      </c>
    </row>
    <row r="29">
      <c r="A29" s="5" t="inlineStr">
        <is>
          <t>WACC = We·Ke + Wd·Kd(at)</t>
        </is>
      </c>
      <c r="C29" s="38">
        <f>C27*C23+C28*C26</f>
        <v/>
      </c>
      <c r="D29" s="39">
        <f>D27*D23+D28*D26</f>
        <v/>
      </c>
      <c r="E29" s="40">
        <f>E27*E23+E28*E26</f>
        <v/>
      </c>
      <c r="F29" s="23" t="inlineStr">
        <is>
          <t>Linked into DCF discounting.</t>
        </is>
      </c>
    </row>
    <row r="31">
      <c r="A31" s="7" t="inlineStr">
        <is>
          <t>C.  OPERATING ASSUMPTIONS  (per scenario)</t>
        </is>
      </c>
    </row>
    <row r="32">
      <c r="A32" s="4" t="inlineStr">
        <is>
          <t>Driver</t>
        </is>
      </c>
      <c r="C32" s="32" t="inlineStr">
        <is>
          <t>Bear</t>
        </is>
      </c>
      <c r="D32" s="33" t="inlineStr">
        <is>
          <t>Base</t>
        </is>
      </c>
      <c r="E32" s="34" t="inlineStr">
        <is>
          <t>Bull</t>
        </is>
      </c>
      <c r="F32" s="4" t="inlineStr">
        <is>
          <t>Rationale / Source</t>
        </is>
      </c>
    </row>
    <row r="33">
      <c r="A33" s="5" t="inlineStr">
        <is>
          <t>D&amp;A (% of revenue)</t>
        </is>
      </c>
      <c r="C33" s="35" t="n">
        <v>0.005</v>
      </c>
      <c r="D33" s="35" t="n">
        <v>0.005</v>
      </c>
      <c r="E33" s="35" t="n">
        <v>0.005</v>
      </c>
      <c r="F33" s="23" t="inlineStr">
        <is>
          <t>FY26 D&amp;A ₹40 Cr = 0.47% of sales; asset-light retail format.</t>
        </is>
      </c>
    </row>
    <row r="34">
      <c r="A34" s="5" t="inlineStr">
        <is>
          <t>Capex (% of revenue)</t>
        </is>
      </c>
      <c r="C34" s="35" t="n">
        <v>0.012</v>
      </c>
      <c r="D34" s="35" t="n">
        <v>0.018</v>
      </c>
      <c r="E34" s="35" t="n">
        <v>0.022</v>
      </c>
      <c r="F34" s="23" t="inlineStr">
        <is>
          <t>FY26 capex ~₹132 Cr = 1.55% of sales. Bull = faster showroom roll-out.</t>
        </is>
      </c>
    </row>
    <row r="35">
      <c r="A35" s="5" t="inlineStr">
        <is>
          <t>ΔNWC (% of Δrevenue)</t>
        </is>
      </c>
      <c r="C35" s="37" t="n">
        <v>0.13</v>
      </c>
      <c r="D35" s="37" t="n">
        <v>0.11</v>
      </c>
      <c r="E35" s="37" t="n">
        <v>0.09</v>
      </c>
      <c r="F35" s="23" t="inlineStr">
        <is>
          <t>Inventory-heavy (gold ~142 inv-days). Incremental NWC ~11% of incremental sales; Bear assumes worse gold tie-up.</t>
        </is>
      </c>
    </row>
    <row r="36">
      <c r="A36" s="5" t="inlineStr">
        <is>
          <t>Terminal growth (g)</t>
        </is>
      </c>
      <c r="C36" s="41" t="n">
        <v>0.04</v>
      </c>
      <c r="D36" s="42" t="n">
        <v>0.055</v>
      </c>
      <c r="E36" s="43" t="n">
        <v>0.065</v>
      </c>
      <c r="F36" s="23" t="inlineStr">
        <is>
          <t>Below India nominal GDP ~10–11%; kept &lt;&lt; WACC. Steady-state store + price growth.</t>
        </is>
      </c>
    </row>
    <row r="38">
      <c r="A38" s="7" t="inlineStr">
        <is>
          <t>D.  REVENUE GROWTH % BY YEAR (FY27–FY36)</t>
        </is>
      </c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4" t="inlineStr">
        <is>
          <t>Scenario</t>
        </is>
      </c>
      <c r="C39" s="26" t="inlineStr">
        <is>
          <t>FY27</t>
        </is>
      </c>
      <c r="D39" s="26" t="inlineStr">
        <is>
          <t>FY28</t>
        </is>
      </c>
      <c r="E39" s="26" t="inlineStr">
        <is>
          <t>FY29</t>
        </is>
      </c>
      <c r="F39" s="26" t="inlineStr">
        <is>
          <t>FY30</t>
        </is>
      </c>
      <c r="G39" s="26" t="inlineStr">
        <is>
          <t>FY31</t>
        </is>
      </c>
      <c r="H39" s="26" t="inlineStr">
        <is>
          <t>FY32</t>
        </is>
      </c>
      <c r="I39" s="26" t="inlineStr">
        <is>
          <t>FY33</t>
        </is>
      </c>
      <c r="J39" s="26" t="inlineStr">
        <is>
          <t>FY34</t>
        </is>
      </c>
      <c r="K39" s="26" t="inlineStr">
        <is>
          <t>FY35</t>
        </is>
      </c>
      <c r="L39" s="26" t="inlineStr">
        <is>
          <t>FY36</t>
        </is>
      </c>
      <c r="N39" s="23" t="inlineStr">
        <is>
          <t>FY26 base inflated by record gold prices (+73% YoY). Growth decays toward terminal. 10-yr median historical sales growth ~19%.</t>
        </is>
      </c>
    </row>
    <row r="40">
      <c r="A40" s="44" t="inlineStr">
        <is>
          <t>Bear</t>
        </is>
      </c>
      <c r="C40" s="37" t="n">
        <v>0.08</v>
      </c>
      <c r="D40" s="37" t="n">
        <v>0.07000000000000001</v>
      </c>
      <c r="E40" s="37" t="n">
        <v>0.06</v>
      </c>
      <c r="F40" s="37" t="n">
        <v>0.06</v>
      </c>
      <c r="G40" s="37" t="n">
        <v>0.05</v>
      </c>
      <c r="H40" s="37" t="n">
        <v>0.05</v>
      </c>
      <c r="I40" s="37" t="n">
        <v>0.05</v>
      </c>
      <c r="J40" s="37" t="n">
        <v>0.05</v>
      </c>
      <c r="K40" s="37" t="n">
        <v>0.05</v>
      </c>
      <c r="L40" s="37" t="n">
        <v>0.05</v>
      </c>
    </row>
    <row r="41">
      <c r="A41" s="45" t="inlineStr">
        <is>
          <t>Base</t>
        </is>
      </c>
      <c r="C41" s="37" t="n">
        <v>0.15</v>
      </c>
      <c r="D41" s="37" t="n">
        <v>0.14</v>
      </c>
      <c r="E41" s="37" t="n">
        <v>0.13</v>
      </c>
      <c r="F41" s="37" t="n">
        <v>0.12</v>
      </c>
      <c r="G41" s="37" t="n">
        <v>0.11</v>
      </c>
      <c r="H41" s="37" t="n">
        <v>0.1</v>
      </c>
      <c r="I41" s="37" t="n">
        <v>0.09</v>
      </c>
      <c r="J41" s="37" t="n">
        <v>0.08500000000000001</v>
      </c>
      <c r="K41" s="37" t="n">
        <v>0.08</v>
      </c>
      <c r="L41" s="37" t="n">
        <v>0.075</v>
      </c>
    </row>
    <row r="42">
      <c r="A42" s="46" t="inlineStr">
        <is>
          <t>Bull</t>
        </is>
      </c>
      <c r="C42" s="37" t="n">
        <v>0.22</v>
      </c>
      <c r="D42" s="37" t="n">
        <v>0.2</v>
      </c>
      <c r="E42" s="37" t="n">
        <v>0.18</v>
      </c>
      <c r="F42" s="37" t="n">
        <v>0.16</v>
      </c>
      <c r="G42" s="37" t="n">
        <v>0.14</v>
      </c>
      <c r="H42" s="37" t="n">
        <v>0.13</v>
      </c>
      <c r="I42" s="37" t="n">
        <v>0.12</v>
      </c>
      <c r="J42" s="37" t="n">
        <v>0.11</v>
      </c>
      <c r="K42" s="37" t="n">
        <v>0.1</v>
      </c>
      <c r="L42" s="37" t="n">
        <v>0.09</v>
      </c>
    </row>
    <row r="44">
      <c r="A44" s="7" t="inlineStr">
        <is>
          <t>E.  EBITDA MARGIN % BY YEAR (FY27–FY36)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4" t="inlineStr">
        <is>
          <t>Scenario</t>
        </is>
      </c>
      <c r="C45" s="26" t="inlineStr">
        <is>
          <t>FY27</t>
        </is>
      </c>
      <c r="D45" s="26" t="inlineStr">
        <is>
          <t>FY28</t>
        </is>
      </c>
      <c r="E45" s="26" t="inlineStr">
        <is>
          <t>FY29</t>
        </is>
      </c>
      <c r="F45" s="26" t="inlineStr">
        <is>
          <t>FY30</t>
        </is>
      </c>
      <c r="G45" s="26" t="inlineStr">
        <is>
          <t>FY31</t>
        </is>
      </c>
      <c r="H45" s="26" t="inlineStr">
        <is>
          <t>FY32</t>
        </is>
      </c>
      <c r="I45" s="26" t="inlineStr">
        <is>
          <t>FY33</t>
        </is>
      </c>
      <c r="J45" s="26" t="inlineStr">
        <is>
          <t>FY34</t>
        </is>
      </c>
      <c r="K45" s="26" t="inlineStr">
        <is>
          <t>FY35</t>
        </is>
      </c>
      <c r="L45" s="26" t="inlineStr">
        <is>
          <t>FY36</t>
        </is>
      </c>
      <c r="N45" s="23" t="inlineStr">
        <is>
          <t>FY26 OPM 6.8% (FY25 4.5%). Base: mild expansion from scale &amp; studded mix; Bull: premiumisation; Bear: gold volatility &amp; competition.</t>
        </is>
      </c>
    </row>
    <row r="46">
      <c r="A46" s="44" t="inlineStr">
        <is>
          <t>Bear</t>
        </is>
      </c>
      <c r="C46" s="35" t="n">
        <v>0.062</v>
      </c>
      <c r="D46" s="35" t="n">
        <v>0.06</v>
      </c>
      <c r="E46" s="35" t="n">
        <v>0.059</v>
      </c>
      <c r="F46" s="35" t="n">
        <v>0.058</v>
      </c>
      <c r="G46" s="35" t="n">
        <v>0.057</v>
      </c>
      <c r="H46" s="35" t="n">
        <v>0.057</v>
      </c>
      <c r="I46" s="35" t="n">
        <v>0.056</v>
      </c>
      <c r="J46" s="35" t="n">
        <v>0.056</v>
      </c>
      <c r="K46" s="35" t="n">
        <v>0.055</v>
      </c>
      <c r="L46" s="35" t="n">
        <v>0.055</v>
      </c>
    </row>
    <row r="47">
      <c r="A47" s="45" t="inlineStr">
        <is>
          <t>Base</t>
        </is>
      </c>
      <c r="C47" s="35" t="n">
        <v>0.06900000000000001</v>
      </c>
      <c r="D47" s="35" t="n">
        <v>0.06950000000000001</v>
      </c>
      <c r="E47" s="35" t="n">
        <v>0.07000000000000001</v>
      </c>
      <c r="F47" s="35" t="n">
        <v>0.07049999999999999</v>
      </c>
      <c r="G47" s="35" t="n">
        <v>0.07099999999999999</v>
      </c>
      <c r="H47" s="35" t="n">
        <v>0.07099999999999999</v>
      </c>
      <c r="I47" s="35" t="n">
        <v>0.07149999999999999</v>
      </c>
      <c r="J47" s="35" t="n">
        <v>0.07149999999999999</v>
      </c>
      <c r="K47" s="35" t="n">
        <v>0.07199999999999999</v>
      </c>
      <c r="L47" s="35" t="n">
        <v>0.07199999999999999</v>
      </c>
    </row>
    <row r="48">
      <c r="A48" s="46" t="inlineStr">
        <is>
          <t>Bull</t>
        </is>
      </c>
      <c r="C48" s="35" t="n">
        <v>0.07199999999999999</v>
      </c>
      <c r="D48" s="35" t="n">
        <v>0.075</v>
      </c>
      <c r="E48" s="35" t="n">
        <v>0.077</v>
      </c>
      <c r="F48" s="35" t="n">
        <v>0.079</v>
      </c>
      <c r="G48" s="35" t="n">
        <v>0.08</v>
      </c>
      <c r="H48" s="35" t="n">
        <v>0.081</v>
      </c>
      <c r="I48" s="35" t="n">
        <v>0.082</v>
      </c>
      <c r="J48" s="35" t="n">
        <v>0.083</v>
      </c>
      <c r="K48" s="35" t="n">
        <v>0.08400000000000001</v>
      </c>
      <c r="L48" s="35" t="n">
        <v>0.08500000000000001</v>
      </c>
    </row>
    <row r="50">
      <c r="A50" s="47" t="inlineStr">
        <is>
          <t>Flags:  [ESTIMATED] inputs — FY26 cash balance (BS not yet filed) and Beta (2-yr weekly proxy). All other inputs sourced from public filings/aggregators.</t>
        </is>
      </c>
    </row>
  </sheetData>
  <mergeCells count="10">
    <mergeCell ref="A2:F2"/>
    <mergeCell ref="A38:B38"/>
    <mergeCell ref="A1:F1"/>
    <mergeCell ref="A31:F31"/>
    <mergeCell ref="N39:N42"/>
    <mergeCell ref="A44:B44"/>
    <mergeCell ref="A18:F18"/>
    <mergeCell ref="A4:F4"/>
    <mergeCell ref="A50:F50"/>
    <mergeCell ref="N45:N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" customWidth="1" min="15" max="15"/>
    <col width="46" customWidth="1" min="16" max="16"/>
  </cols>
  <sheetData>
    <row r="1">
      <c r="A1" s="24" t="inlineStr">
        <is>
          <t>THANGAMAYIL JEWELLERY LTD  —  DISCOUNTED CASH FLOW (FCFF)</t>
        </is>
      </c>
    </row>
    <row r="2">
      <c r="A2" s="25" t="inlineStr">
        <is>
          <t>₹ Crore | 10-yr explicit (FY27–FY36) + Gordon Growth terminal value | Bear / Base / Bull | GREEN = link to Assumptions, BLACK = same-sheet formula</t>
        </is>
      </c>
    </row>
    <row r="4">
      <c r="A4" s="8" t="inlineStr"/>
      <c r="C4" s="48" t="inlineStr">
        <is>
          <t>FY26A</t>
        </is>
      </c>
      <c r="D4" s="48" t="inlineStr">
        <is>
          <t>FY27E</t>
        </is>
      </c>
      <c r="E4" s="48" t="inlineStr">
        <is>
          <t>FY28E</t>
        </is>
      </c>
      <c r="F4" s="48" t="inlineStr">
        <is>
          <t>FY29E</t>
        </is>
      </c>
      <c r="G4" s="48" t="inlineStr">
        <is>
          <t>FY30E</t>
        </is>
      </c>
      <c r="H4" s="48" t="inlineStr">
        <is>
          <t>FY31E</t>
        </is>
      </c>
      <c r="I4" s="48" t="inlineStr">
        <is>
          <t>FY32E</t>
        </is>
      </c>
      <c r="J4" s="48" t="inlineStr">
        <is>
          <t>FY33E</t>
        </is>
      </c>
      <c r="K4" s="48" t="inlineStr">
        <is>
          <t>FY34E</t>
        </is>
      </c>
      <c r="L4" s="48" t="inlineStr">
        <is>
          <t>FY35E</t>
        </is>
      </c>
      <c r="M4" s="48" t="inlineStr">
        <is>
          <t>FY36E</t>
        </is>
      </c>
    </row>
    <row r="5">
      <c r="A5" s="5" t="inlineStr">
        <is>
          <t>Discount period (t)</t>
        </is>
      </c>
      <c r="C5" s="49" t="n">
        <v>0</v>
      </c>
      <c r="D5" s="49" t="n">
        <v>1</v>
      </c>
      <c r="E5" s="49" t="n">
        <v>2</v>
      </c>
      <c r="F5" s="49" t="n">
        <v>3</v>
      </c>
      <c r="G5" s="49" t="n">
        <v>4</v>
      </c>
      <c r="H5" s="49" t="n">
        <v>5</v>
      </c>
      <c r="I5" s="49" t="n">
        <v>6</v>
      </c>
      <c r="J5" s="49" t="n">
        <v>7</v>
      </c>
      <c r="K5" s="49" t="n">
        <v>8</v>
      </c>
      <c r="L5" s="49" t="n">
        <v>9</v>
      </c>
      <c r="M5" s="49" t="n">
        <v>10</v>
      </c>
    </row>
    <row r="7">
      <c r="A7" s="50" t="inlineStr">
        <is>
          <t>①  REVENUE BUILD</t>
        </is>
      </c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</row>
    <row r="8">
      <c r="A8" s="5" t="inlineStr">
        <is>
          <t>Revenue growth %</t>
        </is>
      </c>
      <c r="B8" s="52" t="inlineStr">
        <is>
          <t>Bear</t>
        </is>
      </c>
      <c r="C8" s="53" t="n"/>
      <c r="D8" s="13">
        <f>Assumptions!C40</f>
        <v/>
      </c>
      <c r="E8" s="13">
        <f>Assumptions!D40</f>
        <v/>
      </c>
      <c r="F8" s="13">
        <f>Assumptions!E40</f>
        <v/>
      </c>
      <c r="G8" s="13">
        <f>Assumptions!F40</f>
        <v/>
      </c>
      <c r="H8" s="13">
        <f>Assumptions!G40</f>
        <v/>
      </c>
      <c r="I8" s="13">
        <f>Assumptions!H40</f>
        <v/>
      </c>
      <c r="J8" s="13">
        <f>Assumptions!I40</f>
        <v/>
      </c>
      <c r="K8" s="13">
        <f>Assumptions!J40</f>
        <v/>
      </c>
      <c r="L8" s="13">
        <f>Assumptions!K40</f>
        <v/>
      </c>
      <c r="M8" s="13">
        <f>Assumptions!L40</f>
        <v/>
      </c>
      <c r="P8" s="23" t="inlineStr">
        <is>
          <t>Growth links from Assumptions §D (blue). Revenue compounds off FY26A base.</t>
        </is>
      </c>
    </row>
    <row r="9">
      <c r="A9" s="5" t="inlineStr"/>
      <c r="B9" s="54" t="inlineStr">
        <is>
          <t>Base</t>
        </is>
      </c>
      <c r="C9" s="53" t="n"/>
      <c r="D9" s="13">
        <f>Assumptions!C41</f>
        <v/>
      </c>
      <c r="E9" s="13">
        <f>Assumptions!D41</f>
        <v/>
      </c>
      <c r="F9" s="13">
        <f>Assumptions!E41</f>
        <v/>
      </c>
      <c r="G9" s="13">
        <f>Assumptions!F41</f>
        <v/>
      </c>
      <c r="H9" s="13">
        <f>Assumptions!G41</f>
        <v/>
      </c>
      <c r="I9" s="13">
        <f>Assumptions!H41</f>
        <v/>
      </c>
      <c r="J9" s="13">
        <f>Assumptions!I41</f>
        <v/>
      </c>
      <c r="K9" s="13">
        <f>Assumptions!J41</f>
        <v/>
      </c>
      <c r="L9" s="13">
        <f>Assumptions!K41</f>
        <v/>
      </c>
      <c r="M9" s="13">
        <f>Assumptions!L41</f>
        <v/>
      </c>
    </row>
    <row r="10">
      <c r="A10" s="5" t="inlineStr"/>
      <c r="B10" s="55" t="inlineStr">
        <is>
          <t>Bull</t>
        </is>
      </c>
      <c r="C10" s="53" t="n"/>
      <c r="D10" s="13">
        <f>Assumptions!C42</f>
        <v/>
      </c>
      <c r="E10" s="13">
        <f>Assumptions!D42</f>
        <v/>
      </c>
      <c r="F10" s="13">
        <f>Assumptions!E42</f>
        <v/>
      </c>
      <c r="G10" s="13">
        <f>Assumptions!F42</f>
        <v/>
      </c>
      <c r="H10" s="13">
        <f>Assumptions!G42</f>
        <v/>
      </c>
      <c r="I10" s="13">
        <f>Assumptions!H42</f>
        <v/>
      </c>
      <c r="J10" s="13">
        <f>Assumptions!I42</f>
        <v/>
      </c>
      <c r="K10" s="13">
        <f>Assumptions!J42</f>
        <v/>
      </c>
      <c r="L10" s="13">
        <f>Assumptions!K42</f>
        <v/>
      </c>
      <c r="M10" s="13">
        <f>Assumptions!L42</f>
        <v/>
      </c>
    </row>
    <row r="11">
      <c r="A11" s="4" t="inlineStr">
        <is>
          <t>Revenue (₹ Cr)</t>
        </is>
      </c>
      <c r="B11" s="52" t="inlineStr">
        <is>
          <t>Bear</t>
        </is>
      </c>
      <c r="C11" s="14">
        <f>Assumptions!B9</f>
        <v/>
      </c>
      <c r="D11" s="56">
        <f>C11*(1+D8)</f>
        <v/>
      </c>
      <c r="E11" s="56">
        <f>D11*(1+E8)</f>
        <v/>
      </c>
      <c r="F11" s="56">
        <f>E11*(1+F8)</f>
        <v/>
      </c>
      <c r="G11" s="56">
        <f>F11*(1+G8)</f>
        <v/>
      </c>
      <c r="H11" s="56">
        <f>G11*(1+H8)</f>
        <v/>
      </c>
      <c r="I11" s="56">
        <f>H11*(1+I8)</f>
        <v/>
      </c>
      <c r="J11" s="56">
        <f>I11*(1+J8)</f>
        <v/>
      </c>
      <c r="K11" s="56">
        <f>J11*(1+K8)</f>
        <v/>
      </c>
      <c r="L11" s="56">
        <f>K11*(1+L8)</f>
        <v/>
      </c>
      <c r="M11" s="56">
        <f>L11*(1+M8)</f>
        <v/>
      </c>
    </row>
    <row r="12">
      <c r="A12" s="4" t="inlineStr"/>
      <c r="B12" s="54" t="inlineStr">
        <is>
          <t>Base</t>
        </is>
      </c>
      <c r="C12" s="14">
        <f>Assumptions!B9</f>
        <v/>
      </c>
      <c r="D12" s="56">
        <f>C12*(1+D9)</f>
        <v/>
      </c>
      <c r="E12" s="56">
        <f>D12*(1+E9)</f>
        <v/>
      </c>
      <c r="F12" s="56">
        <f>E12*(1+F9)</f>
        <v/>
      </c>
      <c r="G12" s="56">
        <f>F12*(1+G9)</f>
        <v/>
      </c>
      <c r="H12" s="56">
        <f>G12*(1+H9)</f>
        <v/>
      </c>
      <c r="I12" s="56">
        <f>H12*(1+I9)</f>
        <v/>
      </c>
      <c r="J12" s="56">
        <f>I12*(1+J9)</f>
        <v/>
      </c>
      <c r="K12" s="56">
        <f>J12*(1+K9)</f>
        <v/>
      </c>
      <c r="L12" s="56">
        <f>K12*(1+L9)</f>
        <v/>
      </c>
      <c r="M12" s="56">
        <f>L12*(1+M9)</f>
        <v/>
      </c>
    </row>
    <row r="13">
      <c r="A13" s="4" t="inlineStr"/>
      <c r="B13" s="55" t="inlineStr">
        <is>
          <t>Bull</t>
        </is>
      </c>
      <c r="C13" s="14">
        <f>Assumptions!B9</f>
        <v/>
      </c>
      <c r="D13" s="56">
        <f>C13*(1+D10)</f>
        <v/>
      </c>
      <c r="E13" s="56">
        <f>D13*(1+E10)</f>
        <v/>
      </c>
      <c r="F13" s="56">
        <f>E13*(1+F10)</f>
        <v/>
      </c>
      <c r="G13" s="56">
        <f>F13*(1+G10)</f>
        <v/>
      </c>
      <c r="H13" s="56">
        <f>G13*(1+H10)</f>
        <v/>
      </c>
      <c r="I13" s="56">
        <f>H13*(1+I10)</f>
        <v/>
      </c>
      <c r="J13" s="56">
        <f>I13*(1+J10)</f>
        <v/>
      </c>
      <c r="K13" s="56">
        <f>J13*(1+K10)</f>
        <v/>
      </c>
      <c r="L13" s="56">
        <f>K13*(1+L10)</f>
        <v/>
      </c>
      <c r="M13" s="56">
        <f>L13*(1+M10)</f>
        <v/>
      </c>
    </row>
    <row r="15">
      <c r="A15" s="50" t="inlineStr">
        <is>
          <t>②  EBITDA BRIDGE</t>
        </is>
      </c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</row>
    <row r="16">
      <c r="A16" s="5" t="inlineStr">
        <is>
          <t>EBITDA margin %</t>
        </is>
      </c>
      <c r="B16" s="52" t="inlineStr">
        <is>
          <t>Bear</t>
        </is>
      </c>
      <c r="C16" s="12">
        <f>Assumptions!B11/Assumptions!B9</f>
        <v/>
      </c>
      <c r="D16" s="12">
        <f>Assumptions!C46</f>
        <v/>
      </c>
      <c r="E16" s="12">
        <f>Assumptions!D46</f>
        <v/>
      </c>
      <c r="F16" s="12">
        <f>Assumptions!E46</f>
        <v/>
      </c>
      <c r="G16" s="12">
        <f>Assumptions!F46</f>
        <v/>
      </c>
      <c r="H16" s="12">
        <f>Assumptions!G46</f>
        <v/>
      </c>
      <c r="I16" s="12">
        <f>Assumptions!H46</f>
        <v/>
      </c>
      <c r="J16" s="12">
        <f>Assumptions!I46</f>
        <v/>
      </c>
      <c r="K16" s="12">
        <f>Assumptions!J46</f>
        <v/>
      </c>
      <c r="L16" s="12">
        <f>Assumptions!K46</f>
        <v/>
      </c>
      <c r="M16" s="12">
        <f>Assumptions!L46</f>
        <v/>
      </c>
      <c r="P16" s="23" t="inlineStr">
        <is>
          <t>Margin links from Assumptions §E. EBITDA = margin × revenue.</t>
        </is>
      </c>
    </row>
    <row r="17">
      <c r="A17" s="5" t="inlineStr"/>
      <c r="B17" s="54" t="inlineStr">
        <is>
          <t>Base</t>
        </is>
      </c>
      <c r="C17" s="12">
        <f>Assumptions!B11/Assumptions!B9</f>
        <v/>
      </c>
      <c r="D17" s="12">
        <f>Assumptions!C47</f>
        <v/>
      </c>
      <c r="E17" s="12">
        <f>Assumptions!D47</f>
        <v/>
      </c>
      <c r="F17" s="12">
        <f>Assumptions!E47</f>
        <v/>
      </c>
      <c r="G17" s="12">
        <f>Assumptions!F47</f>
        <v/>
      </c>
      <c r="H17" s="12">
        <f>Assumptions!G47</f>
        <v/>
      </c>
      <c r="I17" s="12">
        <f>Assumptions!H47</f>
        <v/>
      </c>
      <c r="J17" s="12">
        <f>Assumptions!I47</f>
        <v/>
      </c>
      <c r="K17" s="12">
        <f>Assumptions!J47</f>
        <v/>
      </c>
      <c r="L17" s="12">
        <f>Assumptions!K47</f>
        <v/>
      </c>
      <c r="M17" s="12">
        <f>Assumptions!L47</f>
        <v/>
      </c>
    </row>
    <row r="18">
      <c r="A18" s="5" t="inlineStr"/>
      <c r="B18" s="55" t="inlineStr">
        <is>
          <t>Bull</t>
        </is>
      </c>
      <c r="C18" s="12">
        <f>Assumptions!B11/Assumptions!B9</f>
        <v/>
      </c>
      <c r="D18" s="12">
        <f>Assumptions!C48</f>
        <v/>
      </c>
      <c r="E18" s="12">
        <f>Assumptions!D48</f>
        <v/>
      </c>
      <c r="F18" s="12">
        <f>Assumptions!E48</f>
        <v/>
      </c>
      <c r="G18" s="12">
        <f>Assumptions!F48</f>
        <v/>
      </c>
      <c r="H18" s="12">
        <f>Assumptions!G48</f>
        <v/>
      </c>
      <c r="I18" s="12">
        <f>Assumptions!H48</f>
        <v/>
      </c>
      <c r="J18" s="12">
        <f>Assumptions!I48</f>
        <v/>
      </c>
      <c r="K18" s="12">
        <f>Assumptions!J48</f>
        <v/>
      </c>
      <c r="L18" s="12">
        <f>Assumptions!K48</f>
        <v/>
      </c>
      <c r="M18" s="12">
        <f>Assumptions!L48</f>
        <v/>
      </c>
    </row>
    <row r="19">
      <c r="A19" s="4" t="inlineStr">
        <is>
          <t>EBITDA (₹ Cr)</t>
        </is>
      </c>
      <c r="B19" s="52" t="inlineStr">
        <is>
          <t>Bear</t>
        </is>
      </c>
      <c r="C19" s="14">
        <f>Assumptions!B11</f>
        <v/>
      </c>
      <c r="D19" s="56">
        <f>D11*D16</f>
        <v/>
      </c>
      <c r="E19" s="56">
        <f>E11*E16</f>
        <v/>
      </c>
      <c r="F19" s="56">
        <f>F11*F16</f>
        <v/>
      </c>
      <c r="G19" s="56">
        <f>G11*G16</f>
        <v/>
      </c>
      <c r="H19" s="56">
        <f>H11*H16</f>
        <v/>
      </c>
      <c r="I19" s="56">
        <f>I11*I16</f>
        <v/>
      </c>
      <c r="J19" s="56">
        <f>J11*J16</f>
        <v/>
      </c>
      <c r="K19" s="56">
        <f>K11*K16</f>
        <v/>
      </c>
      <c r="L19" s="56">
        <f>L11*L16</f>
        <v/>
      </c>
      <c r="M19" s="56">
        <f>M11*M16</f>
        <v/>
      </c>
    </row>
    <row r="20">
      <c r="A20" s="4" t="inlineStr"/>
      <c r="B20" s="54" t="inlineStr">
        <is>
          <t>Base</t>
        </is>
      </c>
      <c r="C20" s="14">
        <f>Assumptions!B11</f>
        <v/>
      </c>
      <c r="D20" s="56">
        <f>D12*D17</f>
        <v/>
      </c>
      <c r="E20" s="56">
        <f>E12*E17</f>
        <v/>
      </c>
      <c r="F20" s="56">
        <f>F12*F17</f>
        <v/>
      </c>
      <c r="G20" s="56">
        <f>G12*G17</f>
        <v/>
      </c>
      <c r="H20" s="56">
        <f>H12*H17</f>
        <v/>
      </c>
      <c r="I20" s="56">
        <f>I12*I17</f>
        <v/>
      </c>
      <c r="J20" s="56">
        <f>J12*J17</f>
        <v/>
      </c>
      <c r="K20" s="56">
        <f>K12*K17</f>
        <v/>
      </c>
      <c r="L20" s="56">
        <f>L12*L17</f>
        <v/>
      </c>
      <c r="M20" s="56">
        <f>M12*M17</f>
        <v/>
      </c>
    </row>
    <row r="21">
      <c r="A21" s="4" t="inlineStr"/>
      <c r="B21" s="55" t="inlineStr">
        <is>
          <t>Bull</t>
        </is>
      </c>
      <c r="C21" s="14">
        <f>Assumptions!B11</f>
        <v/>
      </c>
      <c r="D21" s="56">
        <f>D13*D18</f>
        <v/>
      </c>
      <c r="E21" s="56">
        <f>E13*E18</f>
        <v/>
      </c>
      <c r="F21" s="56">
        <f>F13*F18</f>
        <v/>
      </c>
      <c r="G21" s="56">
        <f>G13*G18</f>
        <v/>
      </c>
      <c r="H21" s="56">
        <f>H13*H18</f>
        <v/>
      </c>
      <c r="I21" s="56">
        <f>I13*I18</f>
        <v/>
      </c>
      <c r="J21" s="56">
        <f>J13*J18</f>
        <v/>
      </c>
      <c r="K21" s="56">
        <f>K13*K18</f>
        <v/>
      </c>
      <c r="L21" s="56">
        <f>L13*L18</f>
        <v/>
      </c>
      <c r="M21" s="56">
        <f>M13*M18</f>
        <v/>
      </c>
    </row>
    <row r="23">
      <c r="A23" s="50" t="inlineStr">
        <is>
          <t>③  FCFF WATERFALL   (EBITDA → D&amp;A → EBIT → Tax → NOPAT → +D&amp;A → −Capex → −ΔNWC → FCFF)</t>
        </is>
      </c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</row>
    <row r="24">
      <c r="A24" s="8" t="inlineStr"/>
      <c r="C24" s="48" t="inlineStr">
        <is>
          <t>FY26A</t>
        </is>
      </c>
      <c r="D24" s="48" t="inlineStr">
        <is>
          <t>FY27E</t>
        </is>
      </c>
      <c r="E24" s="48" t="inlineStr">
        <is>
          <t>FY28E</t>
        </is>
      </c>
      <c r="F24" s="48" t="inlineStr">
        <is>
          <t>FY29E</t>
        </is>
      </c>
      <c r="G24" s="48" t="inlineStr">
        <is>
          <t>FY30E</t>
        </is>
      </c>
      <c r="H24" s="48" t="inlineStr">
        <is>
          <t>FY31E</t>
        </is>
      </c>
      <c r="I24" s="48" t="inlineStr">
        <is>
          <t>FY32E</t>
        </is>
      </c>
      <c r="J24" s="48" t="inlineStr">
        <is>
          <t>FY33E</t>
        </is>
      </c>
      <c r="K24" s="48" t="inlineStr">
        <is>
          <t>FY34E</t>
        </is>
      </c>
      <c r="L24" s="48" t="inlineStr">
        <is>
          <t>FY35E</t>
        </is>
      </c>
      <c r="M24" s="48" t="inlineStr">
        <is>
          <t>FY36E</t>
        </is>
      </c>
    </row>
    <row r="25">
      <c r="A25" s="4" t="inlineStr">
        <is>
          <t>EBITDA</t>
        </is>
      </c>
      <c r="B25" s="52" t="inlineStr">
        <is>
          <t>Bear</t>
        </is>
      </c>
      <c r="D25" s="56">
        <f>D19</f>
        <v/>
      </c>
      <c r="E25" s="56">
        <f>E19</f>
        <v/>
      </c>
      <c r="F25" s="56">
        <f>F19</f>
        <v/>
      </c>
      <c r="G25" s="56">
        <f>G19</f>
        <v/>
      </c>
      <c r="H25" s="56">
        <f>H19</f>
        <v/>
      </c>
      <c r="I25" s="56">
        <f>I19</f>
        <v/>
      </c>
      <c r="J25" s="56">
        <f>J19</f>
        <v/>
      </c>
      <c r="K25" s="56">
        <f>K19</f>
        <v/>
      </c>
      <c r="L25" s="56">
        <f>L19</f>
        <v/>
      </c>
      <c r="M25" s="56">
        <f>M19</f>
        <v/>
      </c>
    </row>
    <row r="26">
      <c r="A26" s="4" t="inlineStr"/>
      <c r="B26" s="54" t="inlineStr">
        <is>
          <t>Base</t>
        </is>
      </c>
      <c r="D26" s="56">
        <f>D20</f>
        <v/>
      </c>
      <c r="E26" s="56">
        <f>E20</f>
        <v/>
      </c>
      <c r="F26" s="56">
        <f>F20</f>
        <v/>
      </c>
      <c r="G26" s="56">
        <f>G20</f>
        <v/>
      </c>
      <c r="H26" s="56">
        <f>H20</f>
        <v/>
      </c>
      <c r="I26" s="56">
        <f>I20</f>
        <v/>
      </c>
      <c r="J26" s="56">
        <f>J20</f>
        <v/>
      </c>
      <c r="K26" s="56">
        <f>K20</f>
        <v/>
      </c>
      <c r="L26" s="56">
        <f>L20</f>
        <v/>
      </c>
      <c r="M26" s="56">
        <f>M20</f>
        <v/>
      </c>
    </row>
    <row r="27">
      <c r="A27" s="4" t="inlineStr"/>
      <c r="B27" s="55" t="inlineStr">
        <is>
          <t>Bull</t>
        </is>
      </c>
      <c r="D27" s="56">
        <f>D21</f>
        <v/>
      </c>
      <c r="E27" s="56">
        <f>E21</f>
        <v/>
      </c>
      <c r="F27" s="56">
        <f>F21</f>
        <v/>
      </c>
      <c r="G27" s="56">
        <f>G21</f>
        <v/>
      </c>
      <c r="H27" s="56">
        <f>H21</f>
        <v/>
      </c>
      <c r="I27" s="56">
        <f>I21</f>
        <v/>
      </c>
      <c r="J27" s="56">
        <f>J21</f>
        <v/>
      </c>
      <c r="K27" s="56">
        <f>K21</f>
        <v/>
      </c>
      <c r="L27" s="56">
        <f>L21</f>
        <v/>
      </c>
      <c r="M27" s="56">
        <f>M21</f>
        <v/>
      </c>
    </row>
    <row r="28">
      <c r="A28" s="5" t="inlineStr">
        <is>
          <t>(−) D&amp;A</t>
        </is>
      </c>
      <c r="B28" s="52" t="inlineStr">
        <is>
          <t>Bear</t>
        </is>
      </c>
      <c r="D28" s="14">
        <f>-D11*Assumptions!C33</f>
        <v/>
      </c>
      <c r="E28" s="14">
        <f>-E11*Assumptions!C33</f>
        <v/>
      </c>
      <c r="F28" s="14">
        <f>-F11*Assumptions!C33</f>
        <v/>
      </c>
      <c r="G28" s="14">
        <f>-G11*Assumptions!C33</f>
        <v/>
      </c>
      <c r="H28" s="14">
        <f>-H11*Assumptions!C33</f>
        <v/>
      </c>
      <c r="I28" s="14">
        <f>-I11*Assumptions!C33</f>
        <v/>
      </c>
      <c r="J28" s="14">
        <f>-J11*Assumptions!C33</f>
        <v/>
      </c>
      <c r="K28" s="14">
        <f>-K11*Assumptions!C33</f>
        <v/>
      </c>
      <c r="L28" s="14">
        <f>-L11*Assumptions!C33</f>
        <v/>
      </c>
      <c r="M28" s="14">
        <f>-M11*Assumptions!C33</f>
        <v/>
      </c>
    </row>
    <row r="29">
      <c r="A29" s="5" t="inlineStr"/>
      <c r="B29" s="54" t="inlineStr">
        <is>
          <t>Base</t>
        </is>
      </c>
      <c r="D29" s="14">
        <f>-D12*Assumptions!D33</f>
        <v/>
      </c>
      <c r="E29" s="14">
        <f>-E12*Assumptions!D33</f>
        <v/>
      </c>
      <c r="F29" s="14">
        <f>-F12*Assumptions!D33</f>
        <v/>
      </c>
      <c r="G29" s="14">
        <f>-G12*Assumptions!D33</f>
        <v/>
      </c>
      <c r="H29" s="14">
        <f>-H12*Assumptions!D33</f>
        <v/>
      </c>
      <c r="I29" s="14">
        <f>-I12*Assumptions!D33</f>
        <v/>
      </c>
      <c r="J29" s="14">
        <f>-J12*Assumptions!D33</f>
        <v/>
      </c>
      <c r="K29" s="14">
        <f>-K12*Assumptions!D33</f>
        <v/>
      </c>
      <c r="L29" s="14">
        <f>-L12*Assumptions!D33</f>
        <v/>
      </c>
      <c r="M29" s="14">
        <f>-M12*Assumptions!D33</f>
        <v/>
      </c>
    </row>
    <row r="30">
      <c r="A30" s="5" t="inlineStr"/>
      <c r="B30" s="55" t="inlineStr">
        <is>
          <t>Bull</t>
        </is>
      </c>
      <c r="D30" s="14">
        <f>-D13*Assumptions!E33</f>
        <v/>
      </c>
      <c r="E30" s="14">
        <f>-E13*Assumptions!E33</f>
        <v/>
      </c>
      <c r="F30" s="14">
        <f>-F13*Assumptions!E33</f>
        <v/>
      </c>
      <c r="G30" s="14">
        <f>-G13*Assumptions!E33</f>
        <v/>
      </c>
      <c r="H30" s="14">
        <f>-H13*Assumptions!E33</f>
        <v/>
      </c>
      <c r="I30" s="14">
        <f>-I13*Assumptions!E33</f>
        <v/>
      </c>
      <c r="J30" s="14">
        <f>-J13*Assumptions!E33</f>
        <v/>
      </c>
      <c r="K30" s="14">
        <f>-K13*Assumptions!E33</f>
        <v/>
      </c>
      <c r="L30" s="14">
        <f>-L13*Assumptions!E33</f>
        <v/>
      </c>
      <c r="M30" s="14">
        <f>-M13*Assumptions!E33</f>
        <v/>
      </c>
    </row>
    <row r="31">
      <c r="A31" s="4" t="inlineStr">
        <is>
          <t>EBIT</t>
        </is>
      </c>
      <c r="B31" s="52" t="inlineStr">
        <is>
          <t>Bear</t>
        </is>
      </c>
      <c r="D31" s="56">
        <f>D25+D28</f>
        <v/>
      </c>
      <c r="E31" s="56">
        <f>E25+E28</f>
        <v/>
      </c>
      <c r="F31" s="56">
        <f>F25+F28</f>
        <v/>
      </c>
      <c r="G31" s="56">
        <f>G25+G28</f>
        <v/>
      </c>
      <c r="H31" s="56">
        <f>H25+H28</f>
        <v/>
      </c>
      <c r="I31" s="56">
        <f>I25+I28</f>
        <v/>
      </c>
      <c r="J31" s="56">
        <f>J25+J28</f>
        <v/>
      </c>
      <c r="K31" s="56">
        <f>K25+K28</f>
        <v/>
      </c>
      <c r="L31" s="56">
        <f>L25+L28</f>
        <v/>
      </c>
      <c r="M31" s="56">
        <f>M25+M28</f>
        <v/>
      </c>
    </row>
    <row r="32">
      <c r="A32" s="4" t="inlineStr"/>
      <c r="B32" s="54" t="inlineStr">
        <is>
          <t>Base</t>
        </is>
      </c>
      <c r="D32" s="56">
        <f>D26+D29</f>
        <v/>
      </c>
      <c r="E32" s="56">
        <f>E26+E29</f>
        <v/>
      </c>
      <c r="F32" s="56">
        <f>F26+F29</f>
        <v/>
      </c>
      <c r="G32" s="56">
        <f>G26+G29</f>
        <v/>
      </c>
      <c r="H32" s="56">
        <f>H26+H29</f>
        <v/>
      </c>
      <c r="I32" s="56">
        <f>I26+I29</f>
        <v/>
      </c>
      <c r="J32" s="56">
        <f>J26+J29</f>
        <v/>
      </c>
      <c r="K32" s="56">
        <f>K26+K29</f>
        <v/>
      </c>
      <c r="L32" s="56">
        <f>L26+L29</f>
        <v/>
      </c>
      <c r="M32" s="56">
        <f>M26+M29</f>
        <v/>
      </c>
    </row>
    <row r="33">
      <c r="A33" s="4" t="inlineStr"/>
      <c r="B33" s="55" t="inlineStr">
        <is>
          <t>Bull</t>
        </is>
      </c>
      <c r="D33" s="56">
        <f>D27+D30</f>
        <v/>
      </c>
      <c r="E33" s="56">
        <f>E27+E30</f>
        <v/>
      </c>
      <c r="F33" s="56">
        <f>F27+F30</f>
        <v/>
      </c>
      <c r="G33" s="56">
        <f>G27+G30</f>
        <v/>
      </c>
      <c r="H33" s="56">
        <f>H27+H30</f>
        <v/>
      </c>
      <c r="I33" s="56">
        <f>I27+I30</f>
        <v/>
      </c>
      <c r="J33" s="56">
        <f>J27+J30</f>
        <v/>
      </c>
      <c r="K33" s="56">
        <f>K27+K30</f>
        <v/>
      </c>
      <c r="L33" s="56">
        <f>L27+L30</f>
        <v/>
      </c>
      <c r="M33" s="56">
        <f>M27+M30</f>
        <v/>
      </c>
    </row>
    <row r="34">
      <c r="A34" s="5" t="inlineStr">
        <is>
          <t>(−) Tax on EBIT</t>
        </is>
      </c>
      <c r="B34" s="52" t="inlineStr">
        <is>
          <t>Bear</t>
        </is>
      </c>
      <c r="D34" s="14">
        <f>-D31*Assumptions!C25</f>
        <v/>
      </c>
      <c r="E34" s="14">
        <f>-E31*Assumptions!C25</f>
        <v/>
      </c>
      <c r="F34" s="14">
        <f>-F31*Assumptions!C25</f>
        <v/>
      </c>
      <c r="G34" s="14">
        <f>-G31*Assumptions!C25</f>
        <v/>
      </c>
      <c r="H34" s="14">
        <f>-H31*Assumptions!C25</f>
        <v/>
      </c>
      <c r="I34" s="14">
        <f>-I31*Assumptions!C25</f>
        <v/>
      </c>
      <c r="J34" s="14">
        <f>-J31*Assumptions!C25</f>
        <v/>
      </c>
      <c r="K34" s="14">
        <f>-K31*Assumptions!C25</f>
        <v/>
      </c>
      <c r="L34" s="14">
        <f>-L31*Assumptions!C25</f>
        <v/>
      </c>
      <c r="M34" s="14">
        <f>-M31*Assumptions!C25</f>
        <v/>
      </c>
    </row>
    <row r="35">
      <c r="A35" s="5" t="inlineStr"/>
      <c r="B35" s="54" t="inlineStr">
        <is>
          <t>Base</t>
        </is>
      </c>
      <c r="D35" s="14">
        <f>-D32*Assumptions!D25</f>
        <v/>
      </c>
      <c r="E35" s="14">
        <f>-E32*Assumptions!D25</f>
        <v/>
      </c>
      <c r="F35" s="14">
        <f>-F32*Assumptions!D25</f>
        <v/>
      </c>
      <c r="G35" s="14">
        <f>-G32*Assumptions!D25</f>
        <v/>
      </c>
      <c r="H35" s="14">
        <f>-H32*Assumptions!D25</f>
        <v/>
      </c>
      <c r="I35" s="14">
        <f>-I32*Assumptions!D25</f>
        <v/>
      </c>
      <c r="J35" s="14">
        <f>-J32*Assumptions!D25</f>
        <v/>
      </c>
      <c r="K35" s="14">
        <f>-K32*Assumptions!D25</f>
        <v/>
      </c>
      <c r="L35" s="14">
        <f>-L32*Assumptions!D25</f>
        <v/>
      </c>
      <c r="M35" s="14">
        <f>-M32*Assumptions!D25</f>
        <v/>
      </c>
    </row>
    <row r="36">
      <c r="A36" s="5" t="inlineStr"/>
      <c r="B36" s="55" t="inlineStr">
        <is>
          <t>Bull</t>
        </is>
      </c>
      <c r="D36" s="14">
        <f>-D33*Assumptions!E25</f>
        <v/>
      </c>
      <c r="E36" s="14">
        <f>-E33*Assumptions!E25</f>
        <v/>
      </c>
      <c r="F36" s="14">
        <f>-F33*Assumptions!E25</f>
        <v/>
      </c>
      <c r="G36" s="14">
        <f>-G33*Assumptions!E25</f>
        <v/>
      </c>
      <c r="H36" s="14">
        <f>-H33*Assumptions!E25</f>
        <v/>
      </c>
      <c r="I36" s="14">
        <f>-I33*Assumptions!E25</f>
        <v/>
      </c>
      <c r="J36" s="14">
        <f>-J33*Assumptions!E25</f>
        <v/>
      </c>
      <c r="K36" s="14">
        <f>-K33*Assumptions!E25</f>
        <v/>
      </c>
      <c r="L36" s="14">
        <f>-L33*Assumptions!E25</f>
        <v/>
      </c>
      <c r="M36" s="14">
        <f>-M33*Assumptions!E25</f>
        <v/>
      </c>
    </row>
    <row r="37">
      <c r="A37" s="4" t="inlineStr">
        <is>
          <t>NOPAT</t>
        </is>
      </c>
      <c r="B37" s="52" t="inlineStr">
        <is>
          <t>Bear</t>
        </is>
      </c>
      <c r="D37" s="56">
        <f>D31+D34</f>
        <v/>
      </c>
      <c r="E37" s="56">
        <f>E31+E34</f>
        <v/>
      </c>
      <c r="F37" s="56">
        <f>F31+F34</f>
        <v/>
      </c>
      <c r="G37" s="56">
        <f>G31+G34</f>
        <v/>
      </c>
      <c r="H37" s="56">
        <f>H31+H34</f>
        <v/>
      </c>
      <c r="I37" s="56">
        <f>I31+I34</f>
        <v/>
      </c>
      <c r="J37" s="56">
        <f>J31+J34</f>
        <v/>
      </c>
      <c r="K37" s="56">
        <f>K31+K34</f>
        <v/>
      </c>
      <c r="L37" s="56">
        <f>L31+L34</f>
        <v/>
      </c>
      <c r="M37" s="56">
        <f>M31+M34</f>
        <v/>
      </c>
    </row>
    <row r="38">
      <c r="A38" s="4" t="inlineStr"/>
      <c r="B38" s="54" t="inlineStr">
        <is>
          <t>Base</t>
        </is>
      </c>
      <c r="D38" s="56">
        <f>D32+D35</f>
        <v/>
      </c>
      <c r="E38" s="56">
        <f>E32+E35</f>
        <v/>
      </c>
      <c r="F38" s="56">
        <f>F32+F35</f>
        <v/>
      </c>
      <c r="G38" s="56">
        <f>G32+G35</f>
        <v/>
      </c>
      <c r="H38" s="56">
        <f>H32+H35</f>
        <v/>
      </c>
      <c r="I38" s="56">
        <f>I32+I35</f>
        <v/>
      </c>
      <c r="J38" s="56">
        <f>J32+J35</f>
        <v/>
      </c>
      <c r="K38" s="56">
        <f>K32+K35</f>
        <v/>
      </c>
      <c r="L38" s="56">
        <f>L32+L35</f>
        <v/>
      </c>
      <c r="M38" s="56">
        <f>M32+M35</f>
        <v/>
      </c>
    </row>
    <row r="39">
      <c r="A39" s="4" t="inlineStr"/>
      <c r="B39" s="55" t="inlineStr">
        <is>
          <t>Bull</t>
        </is>
      </c>
      <c r="D39" s="56">
        <f>D33+D36</f>
        <v/>
      </c>
      <c r="E39" s="56">
        <f>E33+E36</f>
        <v/>
      </c>
      <c r="F39" s="56">
        <f>F33+F36</f>
        <v/>
      </c>
      <c r="G39" s="56">
        <f>G33+G36</f>
        <v/>
      </c>
      <c r="H39" s="56">
        <f>H33+H36</f>
        <v/>
      </c>
      <c r="I39" s="56">
        <f>I33+I36</f>
        <v/>
      </c>
      <c r="J39" s="56">
        <f>J33+J36</f>
        <v/>
      </c>
      <c r="K39" s="56">
        <f>K33+K36</f>
        <v/>
      </c>
      <c r="L39" s="56">
        <f>L33+L36</f>
        <v/>
      </c>
      <c r="M39" s="56">
        <f>M33+M36</f>
        <v/>
      </c>
    </row>
    <row r="40">
      <c r="A40" s="5" t="inlineStr">
        <is>
          <t>(+) D&amp;A</t>
        </is>
      </c>
      <c r="B40" s="52" t="inlineStr">
        <is>
          <t>Bear</t>
        </is>
      </c>
      <c r="D40" s="56">
        <f>-D28</f>
        <v/>
      </c>
      <c r="E40" s="56">
        <f>-E28</f>
        <v/>
      </c>
      <c r="F40" s="56">
        <f>-F28</f>
        <v/>
      </c>
      <c r="G40" s="56">
        <f>-G28</f>
        <v/>
      </c>
      <c r="H40" s="56">
        <f>-H28</f>
        <v/>
      </c>
      <c r="I40" s="56">
        <f>-I28</f>
        <v/>
      </c>
      <c r="J40" s="56">
        <f>-J28</f>
        <v/>
      </c>
      <c r="K40" s="56">
        <f>-K28</f>
        <v/>
      </c>
      <c r="L40" s="56">
        <f>-L28</f>
        <v/>
      </c>
      <c r="M40" s="56">
        <f>-M28</f>
        <v/>
      </c>
    </row>
    <row r="41">
      <c r="A41" s="5" t="inlineStr"/>
      <c r="B41" s="54" t="inlineStr">
        <is>
          <t>Base</t>
        </is>
      </c>
      <c r="D41" s="56">
        <f>-D29</f>
        <v/>
      </c>
      <c r="E41" s="56">
        <f>-E29</f>
        <v/>
      </c>
      <c r="F41" s="56">
        <f>-F29</f>
        <v/>
      </c>
      <c r="G41" s="56">
        <f>-G29</f>
        <v/>
      </c>
      <c r="H41" s="56">
        <f>-H29</f>
        <v/>
      </c>
      <c r="I41" s="56">
        <f>-I29</f>
        <v/>
      </c>
      <c r="J41" s="56">
        <f>-J29</f>
        <v/>
      </c>
      <c r="K41" s="56">
        <f>-K29</f>
        <v/>
      </c>
      <c r="L41" s="56">
        <f>-L29</f>
        <v/>
      </c>
      <c r="M41" s="56">
        <f>-M29</f>
        <v/>
      </c>
    </row>
    <row r="42">
      <c r="A42" s="5" t="inlineStr"/>
      <c r="B42" s="55" t="inlineStr">
        <is>
          <t>Bull</t>
        </is>
      </c>
      <c r="D42" s="56">
        <f>-D30</f>
        <v/>
      </c>
      <c r="E42" s="56">
        <f>-E30</f>
        <v/>
      </c>
      <c r="F42" s="56">
        <f>-F30</f>
        <v/>
      </c>
      <c r="G42" s="56">
        <f>-G30</f>
        <v/>
      </c>
      <c r="H42" s="56">
        <f>-H30</f>
        <v/>
      </c>
      <c r="I42" s="56">
        <f>-I30</f>
        <v/>
      </c>
      <c r="J42" s="56">
        <f>-J30</f>
        <v/>
      </c>
      <c r="K42" s="56">
        <f>-K30</f>
        <v/>
      </c>
      <c r="L42" s="56">
        <f>-L30</f>
        <v/>
      </c>
      <c r="M42" s="56">
        <f>-M30</f>
        <v/>
      </c>
    </row>
    <row r="43">
      <c r="A43" s="5" t="inlineStr">
        <is>
          <t>(−) Capex</t>
        </is>
      </c>
      <c r="B43" s="52" t="inlineStr">
        <is>
          <t>Bear</t>
        </is>
      </c>
      <c r="D43" s="14">
        <f>-D11*Assumptions!C34</f>
        <v/>
      </c>
      <c r="E43" s="14">
        <f>-E11*Assumptions!C34</f>
        <v/>
      </c>
      <c r="F43" s="14">
        <f>-F11*Assumptions!C34</f>
        <v/>
      </c>
      <c r="G43" s="14">
        <f>-G11*Assumptions!C34</f>
        <v/>
      </c>
      <c r="H43" s="14">
        <f>-H11*Assumptions!C34</f>
        <v/>
      </c>
      <c r="I43" s="14">
        <f>-I11*Assumptions!C34</f>
        <v/>
      </c>
      <c r="J43" s="14">
        <f>-J11*Assumptions!C34</f>
        <v/>
      </c>
      <c r="K43" s="14">
        <f>-K11*Assumptions!C34</f>
        <v/>
      </c>
      <c r="L43" s="14">
        <f>-L11*Assumptions!C34</f>
        <v/>
      </c>
      <c r="M43" s="14">
        <f>-M11*Assumptions!C34</f>
        <v/>
      </c>
    </row>
    <row r="44">
      <c r="A44" s="5" t="inlineStr"/>
      <c r="B44" s="54" t="inlineStr">
        <is>
          <t>Base</t>
        </is>
      </c>
      <c r="D44" s="14">
        <f>-D12*Assumptions!D34</f>
        <v/>
      </c>
      <c r="E44" s="14">
        <f>-E12*Assumptions!D34</f>
        <v/>
      </c>
      <c r="F44" s="14">
        <f>-F12*Assumptions!D34</f>
        <v/>
      </c>
      <c r="G44" s="14">
        <f>-G12*Assumptions!D34</f>
        <v/>
      </c>
      <c r="H44" s="14">
        <f>-H12*Assumptions!D34</f>
        <v/>
      </c>
      <c r="I44" s="14">
        <f>-I12*Assumptions!D34</f>
        <v/>
      </c>
      <c r="J44" s="14">
        <f>-J12*Assumptions!D34</f>
        <v/>
      </c>
      <c r="K44" s="14">
        <f>-K12*Assumptions!D34</f>
        <v/>
      </c>
      <c r="L44" s="14">
        <f>-L12*Assumptions!D34</f>
        <v/>
      </c>
      <c r="M44" s="14">
        <f>-M12*Assumptions!D34</f>
        <v/>
      </c>
    </row>
    <row r="45">
      <c r="A45" s="5" t="inlineStr"/>
      <c r="B45" s="55" t="inlineStr">
        <is>
          <t>Bull</t>
        </is>
      </c>
      <c r="D45" s="14">
        <f>-D13*Assumptions!E34</f>
        <v/>
      </c>
      <c r="E45" s="14">
        <f>-E13*Assumptions!E34</f>
        <v/>
      </c>
      <c r="F45" s="14">
        <f>-F13*Assumptions!E34</f>
        <v/>
      </c>
      <c r="G45" s="14">
        <f>-G13*Assumptions!E34</f>
        <v/>
      </c>
      <c r="H45" s="14">
        <f>-H13*Assumptions!E34</f>
        <v/>
      </c>
      <c r="I45" s="14">
        <f>-I13*Assumptions!E34</f>
        <v/>
      </c>
      <c r="J45" s="14">
        <f>-J13*Assumptions!E34</f>
        <v/>
      </c>
      <c r="K45" s="14">
        <f>-K13*Assumptions!E34</f>
        <v/>
      </c>
      <c r="L45" s="14">
        <f>-L13*Assumptions!E34</f>
        <v/>
      </c>
      <c r="M45" s="14">
        <f>-M13*Assumptions!E34</f>
        <v/>
      </c>
    </row>
    <row r="46">
      <c r="A46" s="5" t="inlineStr">
        <is>
          <t>(−) ΔNWC</t>
        </is>
      </c>
      <c r="B46" s="52" t="inlineStr">
        <is>
          <t>Bear</t>
        </is>
      </c>
      <c r="D46" s="14">
        <f>-(D11-C11)*Assumptions!C35</f>
        <v/>
      </c>
      <c r="E46" s="14">
        <f>-(E11-D11)*Assumptions!C35</f>
        <v/>
      </c>
      <c r="F46" s="14">
        <f>-(F11-E11)*Assumptions!C35</f>
        <v/>
      </c>
      <c r="G46" s="14">
        <f>-(G11-F11)*Assumptions!C35</f>
        <v/>
      </c>
      <c r="H46" s="14">
        <f>-(H11-G11)*Assumptions!C35</f>
        <v/>
      </c>
      <c r="I46" s="14">
        <f>-(I11-H11)*Assumptions!C35</f>
        <v/>
      </c>
      <c r="J46" s="14">
        <f>-(J11-I11)*Assumptions!C35</f>
        <v/>
      </c>
      <c r="K46" s="14">
        <f>-(K11-J11)*Assumptions!C35</f>
        <v/>
      </c>
      <c r="L46" s="14">
        <f>-(L11-K11)*Assumptions!C35</f>
        <v/>
      </c>
      <c r="M46" s="14">
        <f>-(M11-L11)*Assumptions!C35</f>
        <v/>
      </c>
    </row>
    <row r="47">
      <c r="A47" s="5" t="inlineStr"/>
      <c r="B47" s="54" t="inlineStr">
        <is>
          <t>Base</t>
        </is>
      </c>
      <c r="D47" s="14">
        <f>-(D12-C12)*Assumptions!D35</f>
        <v/>
      </c>
      <c r="E47" s="14">
        <f>-(E12-D12)*Assumptions!D35</f>
        <v/>
      </c>
      <c r="F47" s="14">
        <f>-(F12-E12)*Assumptions!D35</f>
        <v/>
      </c>
      <c r="G47" s="14">
        <f>-(G12-F12)*Assumptions!D35</f>
        <v/>
      </c>
      <c r="H47" s="14">
        <f>-(H12-G12)*Assumptions!D35</f>
        <v/>
      </c>
      <c r="I47" s="14">
        <f>-(I12-H12)*Assumptions!D35</f>
        <v/>
      </c>
      <c r="J47" s="14">
        <f>-(J12-I12)*Assumptions!D35</f>
        <v/>
      </c>
      <c r="K47" s="14">
        <f>-(K12-J12)*Assumptions!D35</f>
        <v/>
      </c>
      <c r="L47" s="14">
        <f>-(L12-K12)*Assumptions!D35</f>
        <v/>
      </c>
      <c r="M47" s="14">
        <f>-(M12-L12)*Assumptions!D35</f>
        <v/>
      </c>
    </row>
    <row r="48">
      <c r="A48" s="5" t="inlineStr"/>
      <c r="B48" s="55" t="inlineStr">
        <is>
          <t>Bull</t>
        </is>
      </c>
      <c r="D48" s="14">
        <f>-(D13-C13)*Assumptions!E35</f>
        <v/>
      </c>
      <c r="E48" s="14">
        <f>-(E13-D13)*Assumptions!E35</f>
        <v/>
      </c>
      <c r="F48" s="14">
        <f>-(F13-E13)*Assumptions!E35</f>
        <v/>
      </c>
      <c r="G48" s="14">
        <f>-(G13-F13)*Assumptions!E35</f>
        <v/>
      </c>
      <c r="H48" s="14">
        <f>-(H13-G13)*Assumptions!E35</f>
        <v/>
      </c>
      <c r="I48" s="14">
        <f>-(I13-H13)*Assumptions!E35</f>
        <v/>
      </c>
      <c r="J48" s="14">
        <f>-(J13-I13)*Assumptions!E35</f>
        <v/>
      </c>
      <c r="K48" s="14">
        <f>-(K13-J13)*Assumptions!E35</f>
        <v/>
      </c>
      <c r="L48" s="14">
        <f>-(L13-K13)*Assumptions!E35</f>
        <v/>
      </c>
      <c r="M48" s="14">
        <f>-(M13-L13)*Assumptions!E35</f>
        <v/>
      </c>
    </row>
    <row r="49">
      <c r="A49" s="4" t="inlineStr">
        <is>
          <t>FCFF</t>
        </is>
      </c>
      <c r="B49" s="52" t="inlineStr">
        <is>
          <t>Bear</t>
        </is>
      </c>
      <c r="D49" s="31">
        <f>D37+D40+D43+D46</f>
        <v/>
      </c>
      <c r="E49" s="31">
        <f>E37+E40+E43+E46</f>
        <v/>
      </c>
      <c r="F49" s="31">
        <f>F37+F40+F43+F46</f>
        <v/>
      </c>
      <c r="G49" s="31">
        <f>G37+G40+G43+G46</f>
        <v/>
      </c>
      <c r="H49" s="31">
        <f>H37+H40+H43+H46</f>
        <v/>
      </c>
      <c r="I49" s="31">
        <f>I37+I40+I43+I46</f>
        <v/>
      </c>
      <c r="J49" s="31">
        <f>J37+J40+J43+J46</f>
        <v/>
      </c>
      <c r="K49" s="31">
        <f>K37+K40+K43+K46</f>
        <v/>
      </c>
      <c r="L49" s="31">
        <f>L37+L40+L43+L46</f>
        <v/>
      </c>
      <c r="M49" s="31">
        <f>M37+M40+M43+M46</f>
        <v/>
      </c>
    </row>
    <row r="50">
      <c r="A50" s="4" t="inlineStr"/>
      <c r="B50" s="54" t="inlineStr">
        <is>
          <t>Base</t>
        </is>
      </c>
      <c r="D50" s="31">
        <f>D38+D41+D44+D47</f>
        <v/>
      </c>
      <c r="E50" s="31">
        <f>E38+E41+E44+E47</f>
        <v/>
      </c>
      <c r="F50" s="31">
        <f>F38+F41+F44+F47</f>
        <v/>
      </c>
      <c r="G50" s="31">
        <f>G38+G41+G44+G47</f>
        <v/>
      </c>
      <c r="H50" s="31">
        <f>H38+H41+H44+H47</f>
        <v/>
      </c>
      <c r="I50" s="31">
        <f>I38+I41+I44+I47</f>
        <v/>
      </c>
      <c r="J50" s="31">
        <f>J38+J41+J44+J47</f>
        <v/>
      </c>
      <c r="K50" s="31">
        <f>K38+K41+K44+K47</f>
        <v/>
      </c>
      <c r="L50" s="31">
        <f>L38+L41+L44+L47</f>
        <v/>
      </c>
      <c r="M50" s="31">
        <f>M38+M41+M44+M47</f>
        <v/>
      </c>
    </row>
    <row r="51">
      <c r="A51" s="4" t="inlineStr"/>
      <c r="B51" s="55" t="inlineStr">
        <is>
          <t>Bull</t>
        </is>
      </c>
      <c r="D51" s="31">
        <f>D39+D42+D45+D48</f>
        <v/>
      </c>
      <c r="E51" s="31">
        <f>E39+E42+E45+E48</f>
        <v/>
      </c>
      <c r="F51" s="31">
        <f>F39+F42+F45+F48</f>
        <v/>
      </c>
      <c r="G51" s="31">
        <f>G39+G42+G45+G48</f>
        <v/>
      </c>
      <c r="H51" s="31">
        <f>H39+H42+H45+H48</f>
        <v/>
      </c>
      <c r="I51" s="31">
        <f>I39+I42+I45+I48</f>
        <v/>
      </c>
      <c r="J51" s="31">
        <f>J39+J42+J45+J48</f>
        <v/>
      </c>
      <c r="K51" s="31">
        <f>K39+K42+K45+K48</f>
        <v/>
      </c>
      <c r="L51" s="31">
        <f>L39+L42+L45+L48</f>
        <v/>
      </c>
      <c r="M51" s="31">
        <f>M39+M42+M45+M48</f>
        <v/>
      </c>
    </row>
    <row r="52">
      <c r="A52" s="5" t="inlineStr">
        <is>
          <t>Discount factor @ WACC</t>
        </is>
      </c>
      <c r="B52" s="52" t="inlineStr">
        <is>
          <t>Bear</t>
        </is>
      </c>
      <c r="D52" s="57">
        <f>1/(1+Assumptions!C29)^D5</f>
        <v/>
      </c>
      <c r="E52" s="57">
        <f>1/(1+Assumptions!C29)^E5</f>
        <v/>
      </c>
      <c r="F52" s="57">
        <f>1/(1+Assumptions!C29)^F5</f>
        <v/>
      </c>
      <c r="G52" s="57">
        <f>1/(1+Assumptions!C29)^G5</f>
        <v/>
      </c>
      <c r="H52" s="57">
        <f>1/(1+Assumptions!C29)^H5</f>
        <v/>
      </c>
      <c r="I52" s="57">
        <f>1/(1+Assumptions!C29)^I5</f>
        <v/>
      </c>
      <c r="J52" s="57">
        <f>1/(1+Assumptions!C29)^J5</f>
        <v/>
      </c>
      <c r="K52" s="57">
        <f>1/(1+Assumptions!C29)^K5</f>
        <v/>
      </c>
      <c r="L52" s="57">
        <f>1/(1+Assumptions!C29)^L5</f>
        <v/>
      </c>
      <c r="M52" s="57">
        <f>1/(1+Assumptions!C29)^M5</f>
        <v/>
      </c>
    </row>
    <row r="53">
      <c r="A53" s="5" t="inlineStr"/>
      <c r="B53" s="54" t="inlineStr">
        <is>
          <t>Base</t>
        </is>
      </c>
      <c r="D53" s="57">
        <f>1/(1+Assumptions!D29)^D5</f>
        <v/>
      </c>
      <c r="E53" s="57">
        <f>1/(1+Assumptions!D29)^E5</f>
        <v/>
      </c>
      <c r="F53" s="57">
        <f>1/(1+Assumptions!D29)^F5</f>
        <v/>
      </c>
      <c r="G53" s="57">
        <f>1/(1+Assumptions!D29)^G5</f>
        <v/>
      </c>
      <c r="H53" s="57">
        <f>1/(1+Assumptions!D29)^H5</f>
        <v/>
      </c>
      <c r="I53" s="57">
        <f>1/(1+Assumptions!D29)^I5</f>
        <v/>
      </c>
      <c r="J53" s="57">
        <f>1/(1+Assumptions!D29)^J5</f>
        <v/>
      </c>
      <c r="K53" s="57">
        <f>1/(1+Assumptions!D29)^K5</f>
        <v/>
      </c>
      <c r="L53" s="57">
        <f>1/(1+Assumptions!D29)^L5</f>
        <v/>
      </c>
      <c r="M53" s="57">
        <f>1/(1+Assumptions!D29)^M5</f>
        <v/>
      </c>
    </row>
    <row r="54">
      <c r="A54" s="5" t="inlineStr"/>
      <c r="B54" s="55" t="inlineStr">
        <is>
          <t>Bull</t>
        </is>
      </c>
      <c r="D54" s="57">
        <f>1/(1+Assumptions!E29)^D5</f>
        <v/>
      </c>
      <c r="E54" s="57">
        <f>1/(1+Assumptions!E29)^E5</f>
        <v/>
      </c>
      <c r="F54" s="57">
        <f>1/(1+Assumptions!E29)^F5</f>
        <v/>
      </c>
      <c r="G54" s="57">
        <f>1/(1+Assumptions!E29)^G5</f>
        <v/>
      </c>
      <c r="H54" s="57">
        <f>1/(1+Assumptions!E29)^H5</f>
        <v/>
      </c>
      <c r="I54" s="57">
        <f>1/(1+Assumptions!E29)^I5</f>
        <v/>
      </c>
      <c r="J54" s="57">
        <f>1/(1+Assumptions!E29)^J5</f>
        <v/>
      </c>
      <c r="K54" s="57">
        <f>1/(1+Assumptions!E29)^K5</f>
        <v/>
      </c>
      <c r="L54" s="57">
        <f>1/(1+Assumptions!E29)^L5</f>
        <v/>
      </c>
      <c r="M54" s="57">
        <f>1/(1+Assumptions!E29)^M5</f>
        <v/>
      </c>
    </row>
    <row r="55">
      <c r="A55" s="4" t="inlineStr">
        <is>
          <t>PV of FCFF</t>
        </is>
      </c>
      <c r="B55" s="52" t="inlineStr">
        <is>
          <t>Bear</t>
        </is>
      </c>
      <c r="D55" s="56">
        <f>D49*D52</f>
        <v/>
      </c>
      <c r="E55" s="56">
        <f>E49*E52</f>
        <v/>
      </c>
      <c r="F55" s="56">
        <f>F49*F52</f>
        <v/>
      </c>
      <c r="G55" s="56">
        <f>G49*G52</f>
        <v/>
      </c>
      <c r="H55" s="56">
        <f>H49*H52</f>
        <v/>
      </c>
      <c r="I55" s="56">
        <f>I49*I52</f>
        <v/>
      </c>
      <c r="J55" s="56">
        <f>J49*J52</f>
        <v/>
      </c>
      <c r="K55" s="56">
        <f>K49*K52</f>
        <v/>
      </c>
      <c r="L55" s="56">
        <f>L49*L52</f>
        <v/>
      </c>
      <c r="M55" s="56">
        <f>M49*M52</f>
        <v/>
      </c>
    </row>
    <row r="56">
      <c r="A56" s="4" t="inlineStr"/>
      <c r="B56" s="54" t="inlineStr">
        <is>
          <t>Base</t>
        </is>
      </c>
      <c r="D56" s="56">
        <f>D50*D53</f>
        <v/>
      </c>
      <c r="E56" s="56">
        <f>E50*E53</f>
        <v/>
      </c>
      <c r="F56" s="56">
        <f>F50*F53</f>
        <v/>
      </c>
      <c r="G56" s="56">
        <f>G50*G53</f>
        <v/>
      </c>
      <c r="H56" s="56">
        <f>H50*H53</f>
        <v/>
      </c>
      <c r="I56" s="56">
        <f>I50*I53</f>
        <v/>
      </c>
      <c r="J56" s="56">
        <f>J50*J53</f>
        <v/>
      </c>
      <c r="K56" s="56">
        <f>K50*K53</f>
        <v/>
      </c>
      <c r="L56" s="56">
        <f>L50*L53</f>
        <v/>
      </c>
      <c r="M56" s="56">
        <f>M50*M53</f>
        <v/>
      </c>
    </row>
    <row r="57">
      <c r="A57" s="4" t="inlineStr"/>
      <c r="B57" s="55" t="inlineStr">
        <is>
          <t>Bull</t>
        </is>
      </c>
      <c r="D57" s="56">
        <f>D51*D54</f>
        <v/>
      </c>
      <c r="E57" s="56">
        <f>E51*E54</f>
        <v/>
      </c>
      <c r="F57" s="56">
        <f>F51*F54</f>
        <v/>
      </c>
      <c r="G57" s="56">
        <f>G51*G54</f>
        <v/>
      </c>
      <c r="H57" s="56">
        <f>H51*H54</f>
        <v/>
      </c>
      <c r="I57" s="56">
        <f>I51*I54</f>
        <v/>
      </c>
      <c r="J57" s="56">
        <f>J51*J54</f>
        <v/>
      </c>
      <c r="K57" s="56">
        <f>K51*K54</f>
        <v/>
      </c>
      <c r="L57" s="56">
        <f>L51*L54</f>
        <v/>
      </c>
      <c r="M57" s="56">
        <f>M51*M54</f>
        <v/>
      </c>
    </row>
    <row r="59">
      <c r="A59" s="50" t="inlineStr">
        <is>
          <t>④  WACC SUMMARY   (linked from Assumptions)</t>
        </is>
      </c>
      <c r="B59" s="51" t="n"/>
      <c r="C59" s="51" t="n"/>
      <c r="D59" s="51" t="n"/>
      <c r="E59" s="51" t="n"/>
      <c r="F59" s="51" t="n"/>
      <c r="G59" s="51" t="n"/>
      <c r="H59" s="51" t="n"/>
      <c r="I59" s="51" t="n"/>
      <c r="J59" s="51" t="n"/>
      <c r="K59" s="51" t="n"/>
      <c r="L59" s="51" t="n"/>
      <c r="M59" s="51" t="n"/>
      <c r="N59" s="51" t="n"/>
    </row>
    <row r="60">
      <c r="A60" s="4" t="inlineStr">
        <is>
          <t>Driver</t>
        </is>
      </c>
      <c r="C60" s="32" t="inlineStr">
        <is>
          <t>Bear</t>
        </is>
      </c>
      <c r="D60" s="33" t="inlineStr">
        <is>
          <t>Base</t>
        </is>
      </c>
      <c r="E60" s="34" t="inlineStr">
        <is>
          <t>Bull</t>
        </is>
      </c>
    </row>
    <row r="61">
      <c r="A61" s="5" t="inlineStr">
        <is>
          <t>Risk-free rate</t>
        </is>
      </c>
      <c r="C61" s="12">
        <f>Assumptions!C20</f>
        <v/>
      </c>
      <c r="D61" s="12">
        <f>Assumptions!D20</f>
        <v/>
      </c>
      <c r="E61" s="12">
        <f>Assumptions!E20</f>
        <v/>
      </c>
    </row>
    <row r="62">
      <c r="A62" s="5" t="inlineStr">
        <is>
          <t>Equity risk premium</t>
        </is>
      </c>
      <c r="C62" s="12">
        <f>Assumptions!C21</f>
        <v/>
      </c>
      <c r="D62" s="12">
        <f>Assumptions!D21</f>
        <v/>
      </c>
      <c r="E62" s="12">
        <f>Assumptions!E21</f>
        <v/>
      </c>
    </row>
    <row r="63">
      <c r="A63" s="5" t="inlineStr">
        <is>
          <t>Beta</t>
        </is>
      </c>
      <c r="C63" s="57">
        <f>Assumptions!C22</f>
        <v/>
      </c>
      <c r="D63" s="57">
        <f>Assumptions!D22</f>
        <v/>
      </c>
      <c r="E63" s="57">
        <f>Assumptions!E22</f>
        <v/>
      </c>
    </row>
    <row r="64">
      <c r="A64" s="5" t="inlineStr">
        <is>
          <t>Cost of equity (Ke)</t>
        </is>
      </c>
      <c r="C64" s="12">
        <f>Assumptions!C23</f>
        <v/>
      </c>
      <c r="D64" s="12">
        <f>Assumptions!D23</f>
        <v/>
      </c>
      <c r="E64" s="12">
        <f>Assumptions!E23</f>
        <v/>
      </c>
    </row>
    <row r="65">
      <c r="A65" s="5" t="inlineStr">
        <is>
          <t>After-tax cost of debt</t>
        </is>
      </c>
      <c r="C65" s="12">
        <f>Assumptions!C26</f>
        <v/>
      </c>
      <c r="D65" s="12">
        <f>Assumptions!D26</f>
        <v/>
      </c>
      <c r="E65" s="12">
        <f>Assumptions!E26</f>
        <v/>
      </c>
    </row>
    <row r="66">
      <c r="A66" s="5" t="inlineStr">
        <is>
          <t>Weight of equity</t>
        </is>
      </c>
      <c r="C66" s="13">
        <f>Assumptions!C27</f>
        <v/>
      </c>
      <c r="D66" s="13">
        <f>Assumptions!D27</f>
        <v/>
      </c>
      <c r="E66" s="13">
        <f>Assumptions!E27</f>
        <v/>
      </c>
    </row>
    <row r="67">
      <c r="A67" s="5" t="inlineStr">
        <is>
          <t>Weight of debt</t>
        </is>
      </c>
      <c r="C67" s="13">
        <f>Assumptions!C28</f>
        <v/>
      </c>
      <c r="D67" s="13">
        <f>Assumptions!D28</f>
        <v/>
      </c>
      <c r="E67" s="13">
        <f>Assumptions!E28</f>
        <v/>
      </c>
    </row>
    <row r="68">
      <c r="A68" s="4" t="inlineStr">
        <is>
          <t>WACC</t>
        </is>
      </c>
      <c r="C68" s="58">
        <f>Assumptions!C29</f>
        <v/>
      </c>
      <c r="D68" s="58">
        <f>Assumptions!D29</f>
        <v/>
      </c>
      <c r="E68" s="58">
        <f>Assumptions!E29</f>
        <v/>
      </c>
    </row>
    <row r="70">
      <c r="A70" s="50" t="inlineStr">
        <is>
          <t>⑤  VALUATION SUMMARY   (Bear / Base / Bull side by side)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</row>
    <row r="71">
      <c r="A71" s="4" t="inlineStr">
        <is>
          <t>₹ Crore unless stated</t>
        </is>
      </c>
      <c r="C71" s="32" t="inlineStr">
        <is>
          <t>Bear</t>
        </is>
      </c>
      <c r="D71" s="33" t="inlineStr">
        <is>
          <t>Base</t>
        </is>
      </c>
      <c r="E71" s="34" t="inlineStr">
        <is>
          <t>Bull</t>
        </is>
      </c>
    </row>
    <row r="72">
      <c r="A72" s="5" t="inlineStr">
        <is>
          <t>Terminal-yr FCFF (FY36)</t>
        </is>
      </c>
      <c r="C72" s="56">
        <f>M49</f>
        <v/>
      </c>
      <c r="D72" s="56">
        <f>M50</f>
        <v/>
      </c>
      <c r="E72" s="56">
        <f>M51</f>
        <v/>
      </c>
    </row>
    <row r="73">
      <c r="A73" s="5" t="inlineStr">
        <is>
          <t>Terminal growth (g)</t>
        </is>
      </c>
      <c r="C73" s="13">
        <f>Assumptions!C36</f>
        <v/>
      </c>
      <c r="D73" s="13">
        <f>Assumptions!D36</f>
        <v/>
      </c>
      <c r="E73" s="13">
        <f>Assumptions!E36</f>
        <v/>
      </c>
    </row>
    <row r="74">
      <c r="A74" s="5" t="inlineStr">
        <is>
          <t>WACC</t>
        </is>
      </c>
      <c r="C74" s="12">
        <f>Assumptions!C29</f>
        <v/>
      </c>
      <c r="D74" s="12">
        <f>Assumptions!D29</f>
        <v/>
      </c>
      <c r="E74" s="12">
        <f>Assumptions!E29</f>
        <v/>
      </c>
    </row>
    <row r="75">
      <c r="A75" s="5" t="inlineStr">
        <is>
          <t>Terminal Value (GGM)</t>
        </is>
      </c>
      <c r="C75" s="56">
        <f>C72*(1+C73)/(C74-C73)</f>
        <v/>
      </c>
      <c r="D75" s="56">
        <f>D72*(1+D73)/(D74-D73)</f>
        <v/>
      </c>
      <c r="E75" s="56">
        <f>E72*(1+E73)/(E74-E73)</f>
        <v/>
      </c>
    </row>
    <row r="76">
      <c r="A76" s="5" t="inlineStr">
        <is>
          <t>PV of Terminal Value</t>
        </is>
      </c>
      <c r="C76" s="56">
        <f>C75/(1+C74)^M5</f>
        <v/>
      </c>
      <c r="D76" s="56">
        <f>D75/(1+D74)^M5</f>
        <v/>
      </c>
      <c r="E76" s="56">
        <f>E75/(1+E74)^M5</f>
        <v/>
      </c>
    </row>
    <row r="77">
      <c r="A77" s="5" t="inlineStr">
        <is>
          <t>PV of explicit FCFFs</t>
        </is>
      </c>
      <c r="C77" s="56">
        <f>SUM(D55:M55)</f>
        <v/>
      </c>
      <c r="D77" s="56">
        <f>SUM(D56:M56)</f>
        <v/>
      </c>
      <c r="E77" s="56">
        <f>SUM(D57:M57)</f>
        <v/>
      </c>
    </row>
    <row r="78">
      <c r="A78" s="4" t="inlineStr">
        <is>
          <t>Enterprise Value (EV)</t>
        </is>
      </c>
      <c r="C78" s="31">
        <f>C76+C77</f>
        <v/>
      </c>
      <c r="D78" s="31">
        <f>D76+D77</f>
        <v/>
      </c>
      <c r="E78" s="31">
        <f>E76+E77</f>
        <v/>
      </c>
    </row>
    <row r="79">
      <c r="A79" s="5" t="inlineStr">
        <is>
          <t>(+) Net Cash</t>
        </is>
      </c>
      <c r="C79" s="14">
        <f>Assumptions!B16</f>
        <v/>
      </c>
      <c r="D79" s="14">
        <f>Assumptions!B16</f>
        <v/>
      </c>
      <c r="E79" s="14">
        <f>Assumptions!B16</f>
        <v/>
      </c>
    </row>
    <row r="80">
      <c r="A80" s="4" t="inlineStr">
        <is>
          <t>Equity Value</t>
        </is>
      </c>
      <c r="C80" s="31">
        <f>C78+C79</f>
        <v/>
      </c>
      <c r="D80" s="31">
        <f>D78+D79</f>
        <v/>
      </c>
      <c r="E80" s="31">
        <f>E78+E79</f>
        <v/>
      </c>
    </row>
    <row r="81">
      <c r="A81" s="5" t="inlineStr">
        <is>
          <t>Diluted shares (Cr)</t>
        </is>
      </c>
      <c r="C81" s="57">
        <f>Assumptions!B8</f>
        <v/>
      </c>
      <c r="D81" s="57">
        <f>Assumptions!B8</f>
        <v/>
      </c>
      <c r="E81" s="57">
        <f>Assumptions!B8</f>
        <v/>
      </c>
    </row>
    <row r="82">
      <c r="A82" s="4" t="inlineStr">
        <is>
          <t>Implied value / share (₹)</t>
        </is>
      </c>
      <c r="C82" s="59">
        <f>C80/C81</f>
        <v/>
      </c>
      <c r="D82" s="59">
        <f>D80/D81</f>
        <v/>
      </c>
      <c r="E82" s="59">
        <f>E80/E81</f>
        <v/>
      </c>
    </row>
    <row r="83">
      <c r="A83" s="5" t="inlineStr">
        <is>
          <t>Current Market Price (₹)</t>
        </is>
      </c>
      <c r="C83" s="60">
        <f>Assumptions!B7</f>
        <v/>
      </c>
      <c r="D83" s="60">
        <f>Assumptions!B7</f>
        <v/>
      </c>
      <c r="E83" s="60">
        <f>Assumptions!B7</f>
        <v/>
      </c>
    </row>
    <row r="84">
      <c r="A84" s="4" t="inlineStr">
        <is>
          <t>Upside / (Downside) %</t>
        </is>
      </c>
      <c r="C84" s="61">
        <f>C82/C83-1</f>
        <v/>
      </c>
      <c r="D84" s="61">
        <f>D82/D83-1</f>
        <v/>
      </c>
      <c r="E84" s="61">
        <f>E82/E83-1</f>
        <v/>
      </c>
    </row>
    <row r="85">
      <c r="A85" s="5" t="inlineStr">
        <is>
          <t>PV(TV) as % of EV</t>
        </is>
      </c>
      <c r="C85" s="53">
        <f>C76/C78</f>
        <v/>
      </c>
      <c r="D85" s="53">
        <f>D76/D78</f>
        <v/>
      </c>
      <c r="E85" s="53">
        <f>E76/E78</f>
        <v/>
      </c>
    </row>
    <row r="87">
      <c r="A87" s="50" t="inlineStr">
        <is>
          <t>⑥  SENSITIVITY — Implied Value/Share (₹):  WACC (rows) × Terminal Growth (cols), Base case</t>
        </is>
      </c>
      <c r="B87" s="51" t="n"/>
      <c r="C87" s="51" t="n"/>
      <c r="D87" s="51" t="n"/>
      <c r="E87" s="51" t="n"/>
      <c r="F87" s="51" t="n"/>
      <c r="G87" s="51" t="n"/>
      <c r="H87" s="51" t="n"/>
      <c r="I87" s="51" t="n"/>
      <c r="J87" s="51" t="n"/>
      <c r="K87" s="51" t="n"/>
      <c r="L87" s="51" t="n"/>
      <c r="M87" s="51" t="n"/>
      <c r="N87" s="51" t="n"/>
    </row>
    <row r="88">
      <c r="A88" s="22" t="inlineStr">
        <is>
          <t>Base-case FCFF stream; GGM terminal value re-priced at each WACC × g.</t>
        </is>
      </c>
    </row>
    <row r="89">
      <c r="B89" s="62" t="inlineStr">
        <is>
          <t>WACC \ g</t>
        </is>
      </c>
      <c r="C89" s="63" t="n">
        <v>0.045</v>
      </c>
      <c r="D89" s="63" t="n">
        <v>0.05</v>
      </c>
      <c r="E89" s="63" t="n">
        <v>0.055</v>
      </c>
      <c r="F89" s="63" t="n">
        <v>0.06</v>
      </c>
      <c r="G89" s="63" t="n">
        <v>0.065</v>
      </c>
    </row>
    <row r="90">
      <c r="B90" s="63" t="n">
        <v>0.128</v>
      </c>
      <c r="C90" s="64">
        <f>(SUMPRODUCT($D$50:$M$50,(1+$B90)^(-$D$5:$M$5))+($M$50*(1+C$89)/($B90-C$89))/(1+$B90)^10+Assumptions!B16)/Assumptions!B8</f>
        <v/>
      </c>
      <c r="D90" s="64">
        <f>(SUMPRODUCT($D$50:$M$50,(1+$B90)^(-$D$5:$M$5))+($M$50*(1+D$89)/($B90-D$89))/(1+$B90)^10+Assumptions!B16)/Assumptions!B8</f>
        <v/>
      </c>
      <c r="E90" s="64">
        <f>(SUMPRODUCT($D$50:$M$50,(1+$B90)^(-$D$5:$M$5))+($M$50*(1+E$89)/($B90-E$89))/(1+$B90)^10+Assumptions!B16)/Assumptions!B8</f>
        <v/>
      </c>
      <c r="F90" s="64">
        <f>(SUMPRODUCT($D$50:$M$50,(1+$B90)^(-$D$5:$M$5))+($M$50*(1+F$89)/($B90-F$89))/(1+$B90)^10+Assumptions!B16)/Assumptions!B8</f>
        <v/>
      </c>
      <c r="G90" s="64">
        <f>(SUMPRODUCT($D$50:$M$50,(1+$B90)^(-$D$5:$M$5))+($M$50*(1+G$89)/($B90-G$89))/(1+$B90)^10+Assumptions!B16)/Assumptions!B8</f>
        <v/>
      </c>
    </row>
    <row r="91">
      <c r="B91" s="63" t="n">
        <v>0.138</v>
      </c>
      <c r="C91" s="64">
        <f>(SUMPRODUCT($D$50:$M$50,(1+$B91)^(-$D$5:$M$5))+($M$50*(1+C$89)/($B91-C$89))/(1+$B91)^10+Assumptions!B16)/Assumptions!B8</f>
        <v/>
      </c>
      <c r="D91" s="64">
        <f>(SUMPRODUCT($D$50:$M$50,(1+$B91)^(-$D$5:$M$5))+($M$50*(1+D$89)/($B91-D$89))/(1+$B91)^10+Assumptions!B16)/Assumptions!B8</f>
        <v/>
      </c>
      <c r="E91" s="64">
        <f>(SUMPRODUCT($D$50:$M$50,(1+$B91)^(-$D$5:$M$5))+($M$50*(1+E$89)/($B91-E$89))/(1+$B91)^10+Assumptions!B16)/Assumptions!B8</f>
        <v/>
      </c>
      <c r="F91" s="64">
        <f>(SUMPRODUCT($D$50:$M$50,(1+$B91)^(-$D$5:$M$5))+($M$50*(1+F$89)/($B91-F$89))/(1+$B91)^10+Assumptions!B16)/Assumptions!B8</f>
        <v/>
      </c>
      <c r="G91" s="64">
        <f>(SUMPRODUCT($D$50:$M$50,(1+$B91)^(-$D$5:$M$5))+($M$50*(1+G$89)/($B91-G$89))/(1+$B91)^10+Assumptions!B16)/Assumptions!B8</f>
        <v/>
      </c>
    </row>
    <row r="92">
      <c r="B92" s="63" t="n">
        <v>0.148</v>
      </c>
      <c r="C92" s="64">
        <f>(SUMPRODUCT($D$50:$M$50,(1+$B92)^(-$D$5:$M$5))+($M$50*(1+C$89)/($B92-C$89))/(1+$B92)^10+Assumptions!B16)/Assumptions!B8</f>
        <v/>
      </c>
      <c r="D92" s="64">
        <f>(SUMPRODUCT($D$50:$M$50,(1+$B92)^(-$D$5:$M$5))+($M$50*(1+D$89)/($B92-D$89))/(1+$B92)^10+Assumptions!B16)/Assumptions!B8</f>
        <v/>
      </c>
      <c r="E92" s="59">
        <f>(SUMPRODUCT($D$50:$M$50,(1+$B92)^(-$D$5:$M$5))+($M$50*(1+E$89)/($B92-E$89))/(1+$B92)^10+Assumptions!B16)/Assumptions!B8</f>
        <v/>
      </c>
      <c r="F92" s="64">
        <f>(SUMPRODUCT($D$50:$M$50,(1+$B92)^(-$D$5:$M$5))+($M$50*(1+F$89)/($B92-F$89))/(1+$B92)^10+Assumptions!B16)/Assumptions!B8</f>
        <v/>
      </c>
      <c r="G92" s="64">
        <f>(SUMPRODUCT($D$50:$M$50,(1+$B92)^(-$D$5:$M$5))+($M$50*(1+G$89)/($B92-G$89))/(1+$B92)^10+Assumptions!B16)/Assumptions!B8</f>
        <v/>
      </c>
    </row>
    <row r="93">
      <c r="B93" s="63" t="n">
        <v>0.158</v>
      </c>
      <c r="C93" s="64">
        <f>(SUMPRODUCT($D$50:$M$50,(1+$B93)^(-$D$5:$M$5))+($M$50*(1+C$89)/($B93-C$89))/(1+$B93)^10+Assumptions!B16)/Assumptions!B8</f>
        <v/>
      </c>
      <c r="D93" s="64">
        <f>(SUMPRODUCT($D$50:$M$50,(1+$B93)^(-$D$5:$M$5))+($M$50*(1+D$89)/($B93-D$89))/(1+$B93)^10+Assumptions!B16)/Assumptions!B8</f>
        <v/>
      </c>
      <c r="E93" s="64">
        <f>(SUMPRODUCT($D$50:$M$50,(1+$B93)^(-$D$5:$M$5))+($M$50*(1+E$89)/($B93-E$89))/(1+$B93)^10+Assumptions!B16)/Assumptions!B8</f>
        <v/>
      </c>
      <c r="F93" s="64">
        <f>(SUMPRODUCT($D$50:$M$50,(1+$B93)^(-$D$5:$M$5))+($M$50*(1+F$89)/($B93-F$89))/(1+$B93)^10+Assumptions!B16)/Assumptions!B8</f>
        <v/>
      </c>
      <c r="G93" s="64">
        <f>(SUMPRODUCT($D$50:$M$50,(1+$B93)^(-$D$5:$M$5))+($M$50*(1+G$89)/($B93-G$89))/(1+$B93)^10+Assumptions!B16)/Assumptions!B8</f>
        <v/>
      </c>
    </row>
    <row r="94">
      <c r="B94" s="63" t="n">
        <v>0.168</v>
      </c>
      <c r="C94" s="64">
        <f>(SUMPRODUCT($D$50:$M$50,(1+$B94)^(-$D$5:$M$5))+($M$50*(1+C$89)/($B94-C$89))/(1+$B94)^10+Assumptions!B16)/Assumptions!B8</f>
        <v/>
      </c>
      <c r="D94" s="64">
        <f>(SUMPRODUCT($D$50:$M$50,(1+$B94)^(-$D$5:$M$5))+($M$50*(1+D$89)/($B94-D$89))/(1+$B94)^10+Assumptions!B16)/Assumptions!B8</f>
        <v/>
      </c>
      <c r="E94" s="64">
        <f>(SUMPRODUCT($D$50:$M$50,(1+$B94)^(-$D$5:$M$5))+($M$50*(1+E$89)/($B94-E$89))/(1+$B94)^10+Assumptions!B16)/Assumptions!B8</f>
        <v/>
      </c>
      <c r="F94" s="64">
        <f>(SUMPRODUCT($D$50:$M$50,(1+$B94)^(-$D$5:$M$5))+($M$50*(1+F$89)/($B94-F$89))/(1+$B94)^10+Assumptions!B16)/Assumptions!B8</f>
        <v/>
      </c>
      <c r="G94" s="64">
        <f>(SUMPRODUCT($D$50:$M$50,(1+$B94)^(-$D$5:$M$5))+($M$50*(1+G$89)/($B94-G$89))/(1+$B94)^10+Assumptions!B16)/Assumptions!B8</f>
        <v/>
      </c>
    </row>
    <row r="97">
      <c r="A97" s="50" t="inlineStr">
        <is>
          <t>⑦  REVERSE DCF  (what the market is pricing — Base WACC &amp; g)</t>
        </is>
      </c>
      <c r="B97" s="51" t="n"/>
      <c r="C97" s="51" t="n"/>
      <c r="D97" s="51" t="n"/>
      <c r="E97" s="51" t="n"/>
      <c r="F97" s="51" t="n"/>
      <c r="G97" s="51" t="n"/>
      <c r="H97" s="51" t="n"/>
      <c r="I97" s="51" t="n"/>
      <c r="J97" s="51" t="n"/>
      <c r="K97" s="51" t="n"/>
      <c r="L97" s="51" t="n"/>
      <c r="M97" s="51" t="n"/>
      <c r="N97" s="51" t="n"/>
    </row>
    <row r="98">
      <c r="A98" s="5" t="inlineStr">
        <is>
          <t>Current Market Price (₹)</t>
        </is>
      </c>
      <c r="C98" s="60">
        <f>Assumptions!B7</f>
        <v/>
      </c>
    </row>
    <row r="99">
      <c r="A99" s="5" t="inlineStr">
        <is>
          <t>Diluted shares (Cr)</t>
        </is>
      </c>
      <c r="C99" s="57">
        <f>Assumptions!B8</f>
        <v/>
      </c>
    </row>
    <row r="100">
      <c r="A100" s="5" t="inlineStr">
        <is>
          <t>Market capitalisation</t>
        </is>
      </c>
      <c r="C100" s="56">
        <f>C98*C99</f>
        <v/>
      </c>
    </row>
    <row r="101">
      <c r="A101" s="5" t="inlineStr">
        <is>
          <t>(−) Net Cash</t>
        </is>
      </c>
      <c r="C101" s="14">
        <f>Assumptions!B16</f>
        <v/>
      </c>
    </row>
    <row r="102">
      <c r="A102" s="4" t="inlineStr">
        <is>
          <t>Implied Enterprise Value</t>
        </is>
      </c>
      <c r="C102" s="56">
        <f>C100-C101</f>
        <v/>
      </c>
      <c r="P102" s="23" t="inlineStr">
        <is>
          <t>Implied EV = Mkt-cap − Net Cash (Net Cash is negative ⇒ EV &gt; mkt-cap).</t>
        </is>
      </c>
    </row>
    <row r="103">
      <c r="A103" s="5" t="inlineStr">
        <is>
          <t>Base WACC</t>
        </is>
      </c>
      <c r="C103" s="12">
        <f>Assumptions!D29</f>
        <v/>
      </c>
    </row>
    <row r="104">
      <c r="A104" s="5" t="inlineStr">
        <is>
          <t>Base terminal growth (g)</t>
        </is>
      </c>
      <c r="C104" s="13">
        <f>Assumptions!D36</f>
        <v/>
      </c>
    </row>
    <row r="105">
      <c r="A105" s="4" t="inlineStr">
        <is>
          <t>Implied steady-state FCFF (yr-1)</t>
        </is>
      </c>
      <c r="C105" s="31">
        <f>C102*(C103-C104)</f>
        <v/>
      </c>
      <c r="P105" s="23" t="inlineStr">
        <is>
          <t>Single-stage Gordon perpetuity: FCFF₁ that justifies today's EV.</t>
        </is>
      </c>
    </row>
    <row r="106">
      <c r="A106" s="5" t="inlineStr">
        <is>
          <t>Model Base FY27 FCFF (explicit)</t>
        </is>
      </c>
      <c r="C106" s="56">
        <f>D50</f>
        <v/>
      </c>
      <c r="P106" s="23" t="inlineStr">
        <is>
          <t>For comparison vs the implied requirement.</t>
        </is>
      </c>
    </row>
    <row r="107">
      <c r="A107" s="5" t="inlineStr">
        <is>
          <t>Model Base terminal FCFF (FY36)</t>
        </is>
      </c>
      <c r="C107" s="56">
        <f>M50</f>
        <v/>
      </c>
    </row>
    <row r="108">
      <c r="A108" s="4" t="inlineStr">
        <is>
          <t>Implied FCFF ÷ FY26 revenue</t>
        </is>
      </c>
      <c r="C108" s="53">
        <f>C105/Assumptions!B9</f>
        <v/>
      </c>
      <c r="P108" s="23" t="inlineStr">
        <is>
          <t>FCFF margin the market is pricing vs ~2–3% achievable for a jeweller.</t>
        </is>
      </c>
    </row>
    <row r="109">
      <c r="A109" s="5" t="inlineStr">
        <is>
          <t>Assumed steady-state FCFF margin</t>
        </is>
      </c>
      <c r="C109" s="53" t="n">
        <v>0.04</v>
      </c>
      <c r="P109" s="23" t="inlineStr">
        <is>
          <t>Editable assumption (DCF sheet). ~4% is optimistic for gold retail.</t>
        </is>
      </c>
    </row>
    <row r="110">
      <c r="A110" s="4" t="inlineStr">
        <is>
          <t>Implied steady-state revenue</t>
        </is>
      </c>
      <c r="C110" s="31">
        <f>C105/C109</f>
        <v/>
      </c>
      <c r="P110" s="23" t="inlineStr">
        <is>
          <t>Revenue needed at that FCFF margin to justify CMP.</t>
        </is>
      </c>
    </row>
    <row r="111">
      <c r="A111" s="5" t="inlineStr">
        <is>
          <t>Implied revenue ÷ FY26 revenue (×)</t>
        </is>
      </c>
      <c r="C111" s="65">
        <f>C110/Assumptions!B9</f>
        <v/>
      </c>
    </row>
    <row r="112">
      <c r="A112" s="4" t="inlineStr">
        <is>
          <t>Implied 10-yr revenue CAGR to get there</t>
        </is>
      </c>
      <c r="C112" s="53">
        <f>(C111)^(1/10)-1</f>
        <v/>
      </c>
    </row>
    <row r="114">
      <c r="A114" s="23" t="inlineStr">
        <is>
          <t>Read-through: CMP embeds FCFF generation far above what the explicit model produces — the market is pricing a structural step-change in cash conversion / scale.</t>
        </is>
      </c>
    </row>
  </sheetData>
  <mergeCells count="10">
    <mergeCell ref="A97"/>
    <mergeCell ref="A70"/>
    <mergeCell ref="A114:N114"/>
    <mergeCell ref="A15"/>
    <mergeCell ref="A2:N2"/>
    <mergeCell ref="A7"/>
    <mergeCell ref="A59"/>
    <mergeCell ref="A87"/>
    <mergeCell ref="A2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2026-06-27T10:50:11Z</dcterms:created>
  <dcterms:modified xsi:type="dcterms:W3CDTF">2026-06-27T10:50:11Z</dcterms:modified>
</cp:coreProperties>
</file>

<file path=[Content_Types].xml><?xml version="1.0" encoding="utf-8"?>
<Types xmlns="http://schemas.openxmlformats.org/package/2006/content-types">
  <Default Extension="png" ContentType="image/png"/>
  <Default Extension="rels" ContentType="application/vnd.openxmlformats-package.relationships+xml"/>
  <Default Extension="xml" ContentType="application/xml"/>
  <Override PartName="/xl/workbook.xml" ContentType="application/vnd.openxmlformats-officedocument.spreadsheetml.sheet.main+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worksheets/sheet4.xml" ContentType="application/vnd.openxmlformats-officedocument.spreadsheetml.worksheet+xml"/>
  <Override PartName="/xl/worksheets/sheet5.xml" ContentType="application/vnd.openxmlformats-officedocument.spreadsheetml.worksheet+xml"/>
  <Override PartName="/xl/worksheets/sheet6.xml" ContentType="application/vnd.openxmlformats-officedocument.spreadsheetml.worksheet+xml"/>
  <Override PartName="/xl/worksheets/sheet7.xml" ContentType="application/vnd.openxmlformats-officedocument.spreadsheetml.worksheet+xml"/>
  <Override PartName="/xl/worksheets/sheet8.xml" ContentType="application/vnd.openxmlformats-officedocument.spreadsheetml.worksheet+xml"/>
  <Override PartName="/xl/worksheets/sheet9.xml" ContentType="application/vnd.openxmlformats-officedocument.spreadsheetml.worksheet+xml"/>
  <Override PartName="/xl/worksheets/sheet10.xml" ContentType="application/vnd.openxmlformats-officedocument.spreadsheetml.worksheet+xml"/>
  <Override PartName="/xl/worksheets/sheet11.xml" ContentType="application/vnd.openxmlformats-officedocument.spreadsheetml.worksheet+xml"/>
  <Override PartName="/xl/worksheets/sheet12.xml" ContentType="application/vnd.openxmlformats-officedocument.spreadsheetml.worksheet+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Override PartName="/xl/metadata.xml" ContentType="application/vnd.openxmlformats-officedocument.spreadsheetml.sheetMetadata+xml"/>
  <Override PartName="/xl/drawings/drawing1.xml" ContentType="application/vnd.openxmlformats-officedocument.drawing+xml"/>
  <Override PartName="/xl/drawings/drawing2.xml" ContentType="application/vnd.openxmlformats-officedocument.drawing+xml"/>
  <Override PartName="/xl/tables/table1.xml" ContentType="application/vnd.openxmlformats-officedocument.spreadsheetml.table+xml"/>
  <Override PartName="/xl/drawings/drawing3.xml" ContentType="application/vnd.openxmlformats-officedocument.drawing+xml"/>
  <Override PartName="/xl/charts/chart1.xml" ContentType="application/vnd.openxmlformats-officedocument.drawingml.chart+xml"/>
  <Override PartName="/xl/charts/style1.xml" ContentType="application/vnd.ms-office.chartstyle+xml"/>
  <Override PartName="/xl/charts/colors1.xml" ContentType="application/vnd.ms-office.chartcolorstyle+xml"/>
  <Override PartName="/xl/drawings/drawing4.xml" ContentType="application/vnd.openxmlformats-officedocument.drawingml.chartshapes+xml"/>
  <Override PartName="/xl/calcChain.xml" ContentType="application/vnd.openxmlformats-officedocument.spreadsheetml.calcChain+xml"/>
  <Override PartName="/docProps/core.xml" ContentType="application/vnd.openxmlformats-package.core-properties+xml"/>
  <Override PartName="/docProps/app.xml" ContentType="application/vnd.openxmlformats-officedocument.extended-properties+xml"/>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xmlns:xr="http://schemas.microsoft.com/office/spreadsheetml/2014/revision" xmlns:xr6="http://schemas.microsoft.com/office/spreadsheetml/2016/revision6" xmlns:xr10="http://schemas.microsoft.com/office/spreadsheetml/2016/revision10" xmlns:xr2="http://schemas.microsoft.com/office/spreadsheetml/2015/revision2" mc:Ignorable="x15 xr xr6 xr10 xr2">
  <fileVersion appName="xl" lastEdited="7" lowestEdited="7" rupBuild="30026"/>
  <workbookPr defaultThemeVersion="166925"/>
  <mc:AlternateContent xmlns:mc="http://schemas.openxmlformats.org/markup-compatibility/2006">
    <mc:Choice Requires="x15">
      <x15ac:absPath xmlns:x15ac="http://schemas.microsoft.com/office/spreadsheetml/2010/11/ac" url="E:\Jobaaj material\Final Project\"/>
    </mc:Choice>
  </mc:AlternateContent>
  <xr:revisionPtr revIDLastSave="0" documentId="13_ncr:1_{11CAD20B-D6F8-45EF-A1CC-6D461DA4DCCB}" xr6:coauthVersionLast="47" xr6:coauthVersionMax="47" xr10:uidLastSave="{00000000-0000-0000-0000-000000000000}"/>
  <bookViews>
    <workbookView xWindow="-110" yWindow="-110" windowWidth="19420" windowHeight="10420" activeTab="1" xr2:uid="{6D883523-23E9-4368-BB7D-1D01FA3ED854}"/>
  </bookViews>
  <sheets>
    <sheet name="Index" sheetId="18" r:id="rId1"/>
    <sheet name="Assumption" sheetId="15" r:id="rId2"/>
    <sheet name="Historical" sheetId="3" r:id="rId3"/>
    <sheet name="Model" sheetId="1" r:id="rId4"/>
    <sheet name="Scenario" sheetId="2" r:id="rId5"/>
    <sheet name="Ratio Analysis" sheetId="17" r:id="rId6"/>
    <sheet name="Comps" sheetId="4" r:id="rId7"/>
    <sheet name="Comps_data" sheetId="6" r:id="rId8"/>
    <sheet name="Market_data" sheetId="7" r:id="rId9"/>
    <sheet name="WACC" sheetId="8" r:id="rId10"/>
    <sheet name="Beta" sheetId="9" r:id="rId11"/>
    <sheet name="Summary" sheetId="11" r:id="rId12"/>
  </sheets>
  <calcPr calcId="191029"/>
  <extLst>
    <ext xmlns:x15="http://schemas.microsoft.com/office/spreadsheetml/2010/11/main" uri="{140A7094-0E35-4892-8432-C4D2E57EDEB5}">
      <x15:workbookPr chartTrackingRefBase="1"/>
    </ext>
    <ext xmlns:xcalcf="http://schemas.microsoft.com/office/spreadsheetml/2018/calcfeatures" uri="{B58B0392-4F1F-4190-BB64-5DF3571DCE5F}">
      <xcalcf:calcFeatures>
        <xcalcf:feature name="microsoft.com:RD"/>
        <xcalcf:feature name="microsoft.com:Single"/>
        <xcalcf:feature name="microsoft.com:FV"/>
        <xcalcf:feature name="microsoft.com:CNMTM"/>
        <xcalcf:feature name="microsoft.com:LET_WF"/>
      </xcalcf:calcFeatures>
    </ext>
  </extLst>
</workbook>
</file>

<file path=xl/calcChain.xml><?xml version="1.0" encoding="utf-8"?>
<calcChain xmlns="http://schemas.openxmlformats.org/spreadsheetml/2006/main">
  <c r="E44" i="17" l="1"/>
  <c r="F44" i="17"/>
  <c r="G44" i="17"/>
  <c r="H44" i="17"/>
  <c r="I44" i="17"/>
  <c r="J44" i="17"/>
  <c r="K44" i="17"/>
  <c r="L44" i="17"/>
  <c r="M44" i="17"/>
  <c r="N44" i="17"/>
  <c r="O44" i="17"/>
  <c r="P44" i="17"/>
  <c r="Q44" i="17"/>
  <c r="D44" i="17"/>
  <c r="E42" i="17"/>
  <c r="F42" i="17"/>
  <c r="G42" i="17"/>
  <c r="H42" i="17"/>
  <c r="I42" i="17"/>
  <c r="J42" i="17"/>
  <c r="K42" i="17"/>
  <c r="L42" i="17"/>
  <c r="M42" i="17"/>
  <c r="N42" i="17"/>
  <c r="O42" i="17"/>
  <c r="P42" i="17"/>
  <c r="Q42" i="17"/>
  <c r="D42" i="17"/>
  <c r="E40" i="17"/>
  <c r="F40" i="17"/>
  <c r="G40" i="17"/>
  <c r="H40" i="17"/>
  <c r="I40" i="17"/>
  <c r="J40" i="17"/>
  <c r="K40" i="17"/>
  <c r="L40" i="17"/>
  <c r="M40" i="17"/>
  <c r="N40" i="17"/>
  <c r="O40" i="17"/>
  <c r="P40" i="17"/>
  <c r="Q40" i="17"/>
  <c r="D40" i="17"/>
  <c r="E38" i="17"/>
  <c r="F38" i="17"/>
  <c r="G38" i="17"/>
  <c r="H38" i="17"/>
  <c r="I38" i="17"/>
  <c r="J38" i="17"/>
  <c r="K38" i="17"/>
  <c r="L38" i="17"/>
  <c r="M38" i="17"/>
  <c r="N38" i="17"/>
  <c r="O38" i="17"/>
  <c r="P38" i="17"/>
  <c r="Q38" i="17"/>
  <c r="D38" i="17"/>
  <c r="E25" i="17"/>
  <c r="F25" i="17"/>
  <c r="G25" i="17"/>
  <c r="H25" i="17"/>
  <c r="I25" i="17"/>
  <c r="J25" i="17"/>
  <c r="K25" i="17"/>
  <c r="L25" i="17"/>
  <c r="M25" i="17"/>
  <c r="N25" i="17"/>
  <c r="O25" i="17"/>
  <c r="P25" i="17"/>
  <c r="Q25" i="17"/>
  <c r="D25" i="17"/>
  <c r="E23" i="17"/>
  <c r="F23" i="17"/>
  <c r="G23" i="17"/>
  <c r="H23" i="17"/>
  <c r="I23" i="17"/>
  <c r="J23" i="17"/>
  <c r="K23" i="17"/>
  <c r="L23" i="17"/>
  <c r="M23" i="17"/>
  <c r="N23" i="17"/>
  <c r="O23" i="17"/>
  <c r="P23" i="17"/>
  <c r="Q23" i="17"/>
  <c r="D23" i="17"/>
  <c r="E21" i="17"/>
  <c r="F21" i="17"/>
  <c r="G21" i="17"/>
  <c r="H21" i="17"/>
  <c r="I21" i="17"/>
  <c r="J21" i="17"/>
  <c r="K21" i="17"/>
  <c r="L21" i="17"/>
  <c r="M21" i="17"/>
  <c r="N21" i="17"/>
  <c r="O21" i="17"/>
  <c r="P21" i="17"/>
  <c r="Q21" i="17"/>
  <c r="D21" i="17"/>
  <c r="E20" i="17"/>
  <c r="F20" i="17"/>
  <c r="G20" i="17"/>
  <c r="H20" i="17"/>
  <c r="I20" i="17"/>
  <c r="J20" i="17"/>
  <c r="K20" i="17"/>
  <c r="L20" i="17"/>
  <c r="M20" i="17"/>
  <c r="N20" i="17"/>
  <c r="O20" i="17"/>
  <c r="P20" i="17"/>
  <c r="Q20" i="17"/>
  <c r="D20" i="17"/>
  <c r="E19" i="17"/>
  <c r="F19" i="17"/>
  <c r="G19" i="17"/>
  <c r="H19" i="17"/>
  <c r="I19" i="17"/>
  <c r="J19" i="17"/>
  <c r="K19" i="17"/>
  <c r="L19" i="17"/>
  <c r="M19" i="17"/>
  <c r="N19" i="17"/>
  <c r="O19" i="17"/>
  <c r="P19" i="17"/>
  <c r="Q19" i="17"/>
  <c r="D19" i="17"/>
  <c r="M8" i="1"/>
  <c r="N8" i="1" a="1"/>
  <c r="N8" i="1" s="1"/>
  <c r="M25" i="1"/>
  <c r="S116" i="3"/>
  <c r="R116" i="3"/>
  <c r="S12" i="1" l="1"/>
  <c r="T12" i="1"/>
  <c r="U12" i="1"/>
  <c r="V12" i="1"/>
  <c r="P12" i="1"/>
  <c r="Q12" i="1"/>
  <c r="R12" i="1"/>
  <c r="O12" i="1"/>
  <c r="N12" i="1"/>
  <c r="M12" i="1"/>
  <c r="M117" i="1" s="1"/>
  <c r="M32" i="1" s="1"/>
  <c r="I12" i="1" l="1"/>
  <c r="A1" i="11" l="1"/>
  <c r="E66" i="9"/>
  <c r="C66" i="9"/>
  <c r="E65" i="9"/>
  <c r="C65" i="9"/>
  <c r="E64" i="9"/>
  <c r="C64" i="9"/>
  <c r="E63" i="9"/>
  <c r="C63" i="9"/>
  <c r="E62" i="9"/>
  <c r="C62" i="9"/>
  <c r="E61" i="9"/>
  <c r="C61" i="9"/>
  <c r="E60" i="9"/>
  <c r="C60" i="9"/>
  <c r="E59" i="9"/>
  <c r="C59" i="9"/>
  <c r="E58" i="9"/>
  <c r="C58" i="9"/>
  <c r="E57" i="9"/>
  <c r="C57" i="9"/>
  <c r="E56" i="9"/>
  <c r="C56" i="9"/>
  <c r="E55" i="9"/>
  <c r="C55" i="9"/>
  <c r="E54" i="9"/>
  <c r="C54" i="9"/>
  <c r="E53" i="9"/>
  <c r="C53" i="9"/>
  <c r="E52" i="9"/>
  <c r="C52" i="9"/>
  <c r="E51" i="9"/>
  <c r="C51" i="9"/>
  <c r="E50" i="9"/>
  <c r="C50" i="9"/>
  <c r="E49" i="9"/>
  <c r="C49" i="9"/>
  <c r="E48" i="9"/>
  <c r="C48" i="9"/>
  <c r="E47" i="9"/>
  <c r="C47" i="9"/>
  <c r="E46" i="9"/>
  <c r="C46" i="9"/>
  <c r="E45" i="9"/>
  <c r="C45" i="9"/>
  <c r="E44" i="9"/>
  <c r="C44" i="9"/>
  <c r="E43" i="9"/>
  <c r="C43" i="9"/>
  <c r="E42" i="9"/>
  <c r="C42" i="9"/>
  <c r="E41" i="9"/>
  <c r="C41" i="9"/>
  <c r="E40" i="9"/>
  <c r="C40" i="9"/>
  <c r="E39" i="9"/>
  <c r="C39" i="9"/>
  <c r="E38" i="9"/>
  <c r="C38" i="9"/>
  <c r="E37" i="9"/>
  <c r="C37" i="9"/>
  <c r="E36" i="9"/>
  <c r="C36" i="9"/>
  <c r="E35" i="9"/>
  <c r="C35" i="9"/>
  <c r="E34" i="9"/>
  <c r="C34" i="9"/>
  <c r="E33" i="9"/>
  <c r="C33" i="9"/>
  <c r="E32" i="9"/>
  <c r="C32" i="9"/>
  <c r="E31" i="9"/>
  <c r="C31" i="9"/>
  <c r="E30" i="9"/>
  <c r="C30" i="9"/>
  <c r="E29" i="9"/>
  <c r="C29" i="9"/>
  <c r="E28" i="9"/>
  <c r="C28" i="9"/>
  <c r="E27" i="9"/>
  <c r="C27" i="9"/>
  <c r="E26" i="9"/>
  <c r="C26" i="9"/>
  <c r="E25" i="9"/>
  <c r="C25" i="9"/>
  <c r="E24" i="9"/>
  <c r="C24" i="9"/>
  <c r="E23" i="9"/>
  <c r="C23" i="9"/>
  <c r="E22" i="9"/>
  <c r="C22" i="9"/>
  <c r="E21" i="9"/>
  <c r="C21" i="9"/>
  <c r="E20" i="9"/>
  <c r="C20" i="9"/>
  <c r="E19" i="9"/>
  <c r="C19" i="9"/>
  <c r="E18" i="9"/>
  <c r="C18" i="9"/>
  <c r="E17" i="9"/>
  <c r="C17" i="9"/>
  <c r="E16" i="9"/>
  <c r="C16" i="9"/>
  <c r="E15" i="9"/>
  <c r="C15" i="9"/>
  <c r="E14" i="9"/>
  <c r="C14" i="9"/>
  <c r="E13" i="9"/>
  <c r="C13" i="9"/>
  <c r="E12" i="9"/>
  <c r="C12" i="9"/>
  <c r="E11" i="9"/>
  <c r="C11" i="9"/>
  <c r="H10" i="9"/>
  <c r="E10" i="9"/>
  <c r="C10" i="9"/>
  <c r="E9" i="9"/>
  <c r="C9" i="9"/>
  <c r="E8" i="9"/>
  <c r="C8" i="9"/>
  <c r="E7" i="9"/>
  <c r="C7" i="9"/>
  <c r="A1" i="9"/>
  <c r="H39" i="8"/>
  <c r="H38" i="8"/>
  <c r="H34" i="8"/>
  <c r="H32" i="8"/>
  <c r="H28" i="8"/>
  <c r="H25" i="8"/>
  <c r="H24" i="8"/>
  <c r="L17" i="8"/>
  <c r="I17" i="8"/>
  <c r="D17" i="8"/>
  <c r="N15" i="8"/>
  <c r="M15" i="8"/>
  <c r="L15" i="8"/>
  <c r="K15" i="8"/>
  <c r="J15" i="8"/>
  <c r="N14" i="8"/>
  <c r="M14" i="8"/>
  <c r="L14" i="8"/>
  <c r="K14" i="8"/>
  <c r="J14" i="8"/>
  <c r="N13" i="8"/>
  <c r="L13" i="8"/>
  <c r="K13" i="8"/>
  <c r="J13" i="8"/>
  <c r="I13" i="8"/>
  <c r="H13" i="8"/>
  <c r="D13" i="8"/>
  <c r="N12" i="8"/>
  <c r="L12" i="8"/>
  <c r="K12" i="8"/>
  <c r="J12" i="8"/>
  <c r="I12" i="8"/>
  <c r="H12" i="8"/>
  <c r="D12" i="8"/>
  <c r="N11" i="8"/>
  <c r="L11" i="8"/>
  <c r="K11" i="8"/>
  <c r="J11" i="8"/>
  <c r="I11" i="8"/>
  <c r="H11" i="8"/>
  <c r="D11" i="8"/>
  <c r="N10" i="8"/>
  <c r="L10" i="8"/>
  <c r="K10" i="8"/>
  <c r="J10" i="8"/>
  <c r="I10" i="8"/>
  <c r="H10" i="8"/>
  <c r="D10" i="8"/>
  <c r="A1" i="8"/>
  <c r="G9" i="7"/>
  <c r="G8" i="7"/>
  <c r="L21" i="4"/>
  <c r="K21" i="4"/>
  <c r="J21" i="4"/>
  <c r="I21" i="4"/>
  <c r="H21" i="4"/>
  <c r="E21" i="4"/>
  <c r="L20" i="4"/>
  <c r="K20" i="4"/>
  <c r="J20" i="4"/>
  <c r="I20" i="4"/>
  <c r="H20" i="4"/>
  <c r="E20" i="4"/>
  <c r="L19" i="4"/>
  <c r="K19" i="4"/>
  <c r="J19" i="4"/>
  <c r="I19" i="4"/>
  <c r="H19" i="4"/>
  <c r="E19" i="4"/>
  <c r="Q16" i="4"/>
  <c r="P16" i="4"/>
  <c r="O16" i="4"/>
  <c r="L16" i="4"/>
  <c r="K16" i="4"/>
  <c r="I16" i="4"/>
  <c r="H16" i="4"/>
  <c r="J16" i="4" s="1"/>
  <c r="E16" i="4"/>
  <c r="D16" i="4"/>
  <c r="U14" i="4"/>
  <c r="T14" i="4"/>
  <c r="S14" i="4"/>
  <c r="U13" i="4"/>
  <c r="T13" i="4"/>
  <c r="S13" i="4"/>
  <c r="U11" i="4"/>
  <c r="T11" i="4"/>
  <c r="S11" i="4"/>
  <c r="M11" i="4"/>
  <c r="L11" i="4"/>
  <c r="K11" i="4"/>
  <c r="J11" i="4"/>
  <c r="I11" i="4"/>
  <c r="H11" i="4"/>
  <c r="E11" i="4"/>
  <c r="D11" i="4"/>
  <c r="U10" i="4"/>
  <c r="T10" i="4"/>
  <c r="S10" i="4"/>
  <c r="M10" i="4"/>
  <c r="L10" i="4"/>
  <c r="K10" i="4"/>
  <c r="J10" i="4"/>
  <c r="I10" i="4"/>
  <c r="H10" i="4"/>
  <c r="E10" i="4"/>
  <c r="D10" i="4"/>
  <c r="U9" i="4"/>
  <c r="T9" i="4"/>
  <c r="S9" i="4"/>
  <c r="M9" i="4"/>
  <c r="L9" i="4"/>
  <c r="K9" i="4"/>
  <c r="J9" i="4"/>
  <c r="I9" i="4"/>
  <c r="H9" i="4"/>
  <c r="E9" i="4"/>
  <c r="D9" i="4"/>
  <c r="U8" i="4"/>
  <c r="T8" i="4"/>
  <c r="S8" i="4"/>
  <c r="Q11" i="4"/>
  <c r="P11" i="4"/>
  <c r="O11" i="4"/>
  <c r="Q10" i="4"/>
  <c r="P10" i="4"/>
  <c r="O10" i="4"/>
  <c r="Q9" i="4"/>
  <c r="P9" i="4"/>
  <c r="O9" i="4"/>
  <c r="Q8" i="4"/>
  <c r="P8" i="4"/>
  <c r="O8" i="4"/>
  <c r="O8" i="4" a="1"/>
  <c r="M8" i="4"/>
  <c r="L8" i="4"/>
  <c r="K8" i="4"/>
  <c r="J8" i="4"/>
  <c r="I8" i="4"/>
  <c r="H8" i="4"/>
  <c r="E8" i="4"/>
  <c r="D8" i="4"/>
  <c r="Q4" i="2"/>
  <c r="P4" i="2"/>
  <c r="O4" i="2"/>
  <c r="N4" i="2"/>
  <c r="M4" i="2"/>
  <c r="L4" i="2"/>
  <c r="K4" i="2"/>
  <c r="J4" i="2"/>
  <c r="I4" i="2"/>
  <c r="H4" i="2"/>
  <c r="G46" i="17"/>
  <c r="F46" i="17"/>
  <c r="E46" i="17"/>
  <c r="D46" i="17"/>
  <c r="C46" i="17"/>
  <c r="G45" i="17"/>
  <c r="F45" i="17"/>
  <c r="E45" i="17"/>
  <c r="Q43" i="17"/>
  <c r="P43" i="17"/>
  <c r="O43" i="17"/>
  <c r="N43" i="17"/>
  <c r="M43" i="17"/>
  <c r="L43" i="17"/>
  <c r="K43" i="17"/>
  <c r="J43" i="17"/>
  <c r="I43" i="17"/>
  <c r="H43" i="17"/>
  <c r="G43" i="17"/>
  <c r="F43" i="17"/>
  <c r="E43" i="17"/>
  <c r="D43" i="17"/>
  <c r="C43" i="17"/>
  <c r="Q41" i="17"/>
  <c r="P41" i="17"/>
  <c r="O41" i="17"/>
  <c r="N41" i="17"/>
  <c r="M41" i="17"/>
  <c r="L41" i="17"/>
  <c r="K41" i="17"/>
  <c r="J41" i="17"/>
  <c r="I41" i="17"/>
  <c r="H41" i="17"/>
  <c r="G41" i="17"/>
  <c r="F41" i="17"/>
  <c r="E41" i="17"/>
  <c r="D41" i="17"/>
  <c r="C41" i="17"/>
  <c r="Q39" i="17"/>
  <c r="P39" i="17"/>
  <c r="O39" i="17"/>
  <c r="N39" i="17"/>
  <c r="M39" i="17"/>
  <c r="L39" i="17"/>
  <c r="K39" i="17"/>
  <c r="J39" i="17"/>
  <c r="I39" i="17"/>
  <c r="H39" i="17"/>
  <c r="G39" i="17"/>
  <c r="F39" i="17"/>
  <c r="E39" i="17"/>
  <c r="D39" i="17"/>
  <c r="C39" i="17"/>
  <c r="G35" i="17"/>
  <c r="F35" i="17"/>
  <c r="E35" i="17"/>
  <c r="D35" i="17"/>
  <c r="C35" i="17"/>
  <c r="G34" i="17"/>
  <c r="F34" i="17"/>
  <c r="E34" i="17"/>
  <c r="D34" i="17"/>
  <c r="C34" i="17"/>
  <c r="G33" i="17"/>
  <c r="F33" i="17"/>
  <c r="E33" i="17"/>
  <c r="D33" i="17"/>
  <c r="C33" i="17"/>
  <c r="Q30" i="17"/>
  <c r="P30" i="17"/>
  <c r="O30" i="17"/>
  <c r="N30" i="17"/>
  <c r="M30" i="17"/>
  <c r="L30" i="17"/>
  <c r="K30" i="17"/>
  <c r="J30" i="17"/>
  <c r="I30" i="17"/>
  <c r="H30" i="17"/>
  <c r="G30" i="17"/>
  <c r="F30" i="17"/>
  <c r="E30" i="17"/>
  <c r="D30" i="17"/>
  <c r="C30" i="17"/>
  <c r="G29" i="17"/>
  <c r="F29" i="17"/>
  <c r="E29" i="17"/>
  <c r="D29" i="17"/>
  <c r="C29" i="17"/>
  <c r="G28" i="17"/>
  <c r="F28" i="17"/>
  <c r="E28" i="17"/>
  <c r="D28" i="17"/>
  <c r="C28" i="17"/>
  <c r="G24" i="17"/>
  <c r="F24" i="17"/>
  <c r="E24" i="17"/>
  <c r="D24" i="17"/>
  <c r="C24" i="17"/>
  <c r="G22" i="17"/>
  <c r="F22" i="17"/>
  <c r="E22" i="17"/>
  <c r="D22" i="17"/>
  <c r="C22" i="17"/>
  <c r="G16" i="17"/>
  <c r="F16" i="17"/>
  <c r="E16" i="17"/>
  <c r="D16" i="17"/>
  <c r="C16" i="17"/>
  <c r="Q15" i="17"/>
  <c r="P15" i="17"/>
  <c r="O15" i="17"/>
  <c r="N15" i="17"/>
  <c r="M15" i="17"/>
  <c r="L15" i="17"/>
  <c r="K15" i="17"/>
  <c r="J15" i="17"/>
  <c r="I15" i="17"/>
  <c r="H15" i="17"/>
  <c r="G15" i="17"/>
  <c r="F15" i="17"/>
  <c r="E15" i="17"/>
  <c r="D15" i="17"/>
  <c r="C15" i="17"/>
  <c r="G14" i="17"/>
  <c r="F14" i="17"/>
  <c r="E14" i="17"/>
  <c r="D14" i="17"/>
  <c r="C14" i="17"/>
  <c r="G13" i="17"/>
  <c r="F13" i="17"/>
  <c r="E13" i="17"/>
  <c r="D13" i="17"/>
  <c r="C13" i="17"/>
  <c r="G12" i="17"/>
  <c r="F12" i="17"/>
  <c r="E12" i="17"/>
  <c r="D12" i="17"/>
  <c r="C12" i="17"/>
  <c r="G11" i="17"/>
  <c r="F11" i="17"/>
  <c r="E11" i="17"/>
  <c r="D11" i="17"/>
  <c r="C11" i="17"/>
  <c r="Q8" i="17"/>
  <c r="P8" i="17"/>
  <c r="O8" i="17"/>
  <c r="N8" i="17"/>
  <c r="M8" i="17"/>
  <c r="L8" i="17"/>
  <c r="K8" i="17"/>
  <c r="J8" i="17"/>
  <c r="I8" i="17"/>
  <c r="H8" i="17"/>
  <c r="G8" i="17"/>
  <c r="F8" i="17"/>
  <c r="E8" i="17"/>
  <c r="D8" i="17"/>
  <c r="C8" i="17"/>
  <c r="K162" i="1"/>
  <c r="E162" i="1"/>
  <c r="E161" i="1"/>
  <c r="K160" i="1"/>
  <c r="E160" i="1"/>
  <c r="M152" i="1"/>
  <c r="L152" i="1"/>
  <c r="K152" i="1"/>
  <c r="J152" i="1"/>
  <c r="I152" i="1"/>
  <c r="H152" i="1"/>
  <c r="L150" i="1"/>
  <c r="K150" i="1"/>
  <c r="J150" i="1"/>
  <c r="I150" i="1"/>
  <c r="H150" i="1"/>
  <c r="L149" i="1"/>
  <c r="K149" i="1"/>
  <c r="J149" i="1"/>
  <c r="I149" i="1"/>
  <c r="H149" i="1"/>
  <c r="W148" i="1"/>
  <c r="V148" i="1"/>
  <c r="U148" i="1"/>
  <c r="T148" i="1"/>
  <c r="S148" i="1"/>
  <c r="R148" i="1"/>
  <c r="Q148" i="1"/>
  <c r="P148" i="1"/>
  <c r="O148" i="1"/>
  <c r="N148" i="1"/>
  <c r="L148" i="1"/>
  <c r="K148" i="1"/>
  <c r="J148" i="1"/>
  <c r="I148" i="1"/>
  <c r="H148" i="1"/>
  <c r="L147" i="1"/>
  <c r="K147" i="1"/>
  <c r="J147" i="1"/>
  <c r="I147" i="1"/>
  <c r="H147" i="1"/>
  <c r="L146" i="1"/>
  <c r="K146" i="1"/>
  <c r="J146" i="1"/>
  <c r="I146" i="1"/>
  <c r="H146" i="1"/>
  <c r="L145" i="1"/>
  <c r="K145" i="1"/>
  <c r="J145" i="1"/>
  <c r="I145" i="1"/>
  <c r="H145" i="1"/>
  <c r="L144" i="1"/>
  <c r="K144" i="1"/>
  <c r="J144" i="1"/>
  <c r="I144" i="1"/>
  <c r="H144" i="1"/>
  <c r="W143" i="1"/>
  <c r="V143" i="1"/>
  <c r="U143" i="1"/>
  <c r="T143" i="1"/>
  <c r="S143" i="1"/>
  <c r="R143" i="1"/>
  <c r="Q143" i="1"/>
  <c r="P143" i="1"/>
  <c r="O143" i="1"/>
  <c r="N143" i="1"/>
  <c r="M143" i="1"/>
  <c r="L143" i="1"/>
  <c r="K143" i="1"/>
  <c r="J143" i="1"/>
  <c r="I143" i="1"/>
  <c r="M142" i="1"/>
  <c r="W141" i="1"/>
  <c r="V141" i="1"/>
  <c r="U141" i="1"/>
  <c r="T141" i="1"/>
  <c r="S141" i="1"/>
  <c r="R141" i="1"/>
  <c r="Q141" i="1"/>
  <c r="P141" i="1"/>
  <c r="O141" i="1"/>
  <c r="N141" i="1"/>
  <c r="L141" i="1"/>
  <c r="K141" i="1"/>
  <c r="J141" i="1"/>
  <c r="I141" i="1"/>
  <c r="H141" i="1"/>
  <c r="E137" i="1"/>
  <c r="E134" i="1"/>
  <c r="E133" i="1"/>
  <c r="V124" i="1"/>
  <c r="U124" i="1"/>
  <c r="T124" i="1"/>
  <c r="S124" i="1"/>
  <c r="R124" i="1"/>
  <c r="Q124" i="1"/>
  <c r="P124" i="1"/>
  <c r="O124" i="1"/>
  <c r="N124" i="1"/>
  <c r="M124" i="1"/>
  <c r="L124" i="1"/>
  <c r="K124" i="1"/>
  <c r="J124" i="1"/>
  <c r="I124" i="1"/>
  <c r="H124" i="1"/>
  <c r="V123" i="1"/>
  <c r="U123" i="1"/>
  <c r="T123" i="1"/>
  <c r="S123" i="1"/>
  <c r="R123" i="1"/>
  <c r="Q123" i="1"/>
  <c r="P123" i="1"/>
  <c r="O123" i="1"/>
  <c r="N123" i="1"/>
  <c r="M123" i="1"/>
  <c r="L123" i="1"/>
  <c r="K123" i="1"/>
  <c r="J123" i="1"/>
  <c r="I123" i="1"/>
  <c r="H123" i="1"/>
  <c r="L122" i="1"/>
  <c r="K122" i="1"/>
  <c r="J122" i="1"/>
  <c r="I122" i="1"/>
  <c r="V121" i="1"/>
  <c r="U121" i="1"/>
  <c r="T121" i="1"/>
  <c r="S121" i="1"/>
  <c r="R121" i="1"/>
  <c r="Q121" i="1"/>
  <c r="P121" i="1"/>
  <c r="O121" i="1"/>
  <c r="N121" i="1"/>
  <c r="M121" i="1"/>
  <c r="L121" i="1"/>
  <c r="K121" i="1"/>
  <c r="J121" i="1"/>
  <c r="I121" i="1"/>
  <c r="M118" i="1"/>
  <c r="M52" i="1" s="1"/>
  <c r="L118" i="1"/>
  <c r="K118" i="1"/>
  <c r="J118" i="1"/>
  <c r="I118" i="1"/>
  <c r="H118" i="1"/>
  <c r="M79" i="1"/>
  <c r="L117" i="1"/>
  <c r="K117" i="1"/>
  <c r="J117" i="1"/>
  <c r="I117" i="1"/>
  <c r="H117" i="1"/>
  <c r="V116" i="1"/>
  <c r="U116" i="1"/>
  <c r="T116" i="1"/>
  <c r="S116" i="1"/>
  <c r="R116" i="1"/>
  <c r="Q116" i="1"/>
  <c r="P116" i="1"/>
  <c r="O116" i="1"/>
  <c r="N116" i="1"/>
  <c r="M116" i="1"/>
  <c r="L116" i="1"/>
  <c r="K116" i="1"/>
  <c r="J116" i="1"/>
  <c r="I116" i="1"/>
  <c r="M115" i="1"/>
  <c r="L115" i="1"/>
  <c r="K115" i="1"/>
  <c r="J115" i="1"/>
  <c r="I115" i="1"/>
  <c r="L112" i="1"/>
  <c r="K112" i="1"/>
  <c r="J112" i="1"/>
  <c r="I112" i="1"/>
  <c r="H112" i="1"/>
  <c r="V111" i="1"/>
  <c r="U111" i="1"/>
  <c r="T111" i="1"/>
  <c r="S111" i="1"/>
  <c r="R111" i="1"/>
  <c r="Q111" i="1"/>
  <c r="P111" i="1"/>
  <c r="O111" i="1"/>
  <c r="N111" i="1"/>
  <c r="M111" i="1"/>
  <c r="L111" i="1"/>
  <c r="K111" i="1"/>
  <c r="J111" i="1"/>
  <c r="I111" i="1"/>
  <c r="H111" i="1"/>
  <c r="L110" i="1"/>
  <c r="K110" i="1"/>
  <c r="J110" i="1"/>
  <c r="I110" i="1"/>
  <c r="H110" i="1"/>
  <c r="L109" i="1"/>
  <c r="K109" i="1"/>
  <c r="J109" i="1"/>
  <c r="I109" i="1"/>
  <c r="H109" i="1"/>
  <c r="L108" i="1"/>
  <c r="K108" i="1"/>
  <c r="J108" i="1"/>
  <c r="I108" i="1"/>
  <c r="H108" i="1"/>
  <c r="L102" i="1"/>
  <c r="K102" i="1"/>
  <c r="J102" i="1"/>
  <c r="I102" i="1"/>
  <c r="H102" i="1"/>
  <c r="M101" i="1"/>
  <c r="L101" i="1"/>
  <c r="K101" i="1"/>
  <c r="J101" i="1"/>
  <c r="I101" i="1"/>
  <c r="H101" i="1"/>
  <c r="L100" i="1"/>
  <c r="K100" i="1"/>
  <c r="J100" i="1"/>
  <c r="I100" i="1"/>
  <c r="H100" i="1"/>
  <c r="L98" i="1"/>
  <c r="K98" i="1"/>
  <c r="J98" i="1"/>
  <c r="I98" i="1"/>
  <c r="H98" i="1"/>
  <c r="V97" i="1"/>
  <c r="U97" i="1"/>
  <c r="T97" i="1"/>
  <c r="S97" i="1"/>
  <c r="R97" i="1"/>
  <c r="Q97" i="1"/>
  <c r="P97" i="1"/>
  <c r="O97" i="1"/>
  <c r="N97" i="1"/>
  <c r="M97" i="1"/>
  <c r="L97" i="1"/>
  <c r="K97" i="1"/>
  <c r="J97" i="1"/>
  <c r="I97" i="1"/>
  <c r="H97" i="1"/>
  <c r="L96" i="1"/>
  <c r="K96" i="1"/>
  <c r="J96" i="1"/>
  <c r="I96" i="1"/>
  <c r="H96" i="1"/>
  <c r="L95" i="1"/>
  <c r="K95" i="1"/>
  <c r="J95" i="1"/>
  <c r="I95" i="1"/>
  <c r="H95" i="1"/>
  <c r="L94" i="1"/>
  <c r="K94" i="1"/>
  <c r="J94" i="1"/>
  <c r="I94" i="1"/>
  <c r="H94" i="1"/>
  <c r="L91" i="1"/>
  <c r="K91" i="1"/>
  <c r="J91" i="1"/>
  <c r="I91" i="1"/>
  <c r="H91" i="1"/>
  <c r="L89" i="1"/>
  <c r="K89" i="1"/>
  <c r="J89" i="1"/>
  <c r="I89" i="1"/>
  <c r="H89" i="1"/>
  <c r="L87" i="1"/>
  <c r="K87" i="1"/>
  <c r="J87" i="1"/>
  <c r="I87" i="1"/>
  <c r="H87" i="1"/>
  <c r="L86" i="1"/>
  <c r="K86" i="1"/>
  <c r="J86" i="1"/>
  <c r="I86" i="1"/>
  <c r="H86" i="1"/>
  <c r="V85" i="1"/>
  <c r="U85" i="1"/>
  <c r="T85" i="1"/>
  <c r="S85" i="1"/>
  <c r="R85" i="1"/>
  <c r="Q85" i="1"/>
  <c r="P85" i="1"/>
  <c r="O85" i="1"/>
  <c r="N85" i="1"/>
  <c r="M85" i="1"/>
  <c r="L85" i="1"/>
  <c r="K85" i="1"/>
  <c r="J85" i="1"/>
  <c r="I85" i="1"/>
  <c r="H85" i="1"/>
  <c r="L82" i="1"/>
  <c r="K82" i="1"/>
  <c r="J82" i="1"/>
  <c r="I82" i="1"/>
  <c r="H82" i="1"/>
  <c r="L81" i="1"/>
  <c r="K81" i="1"/>
  <c r="J81" i="1"/>
  <c r="I81" i="1"/>
  <c r="H81" i="1"/>
  <c r="L80" i="1"/>
  <c r="K80" i="1"/>
  <c r="J80" i="1"/>
  <c r="I80" i="1"/>
  <c r="H80" i="1"/>
  <c r="L79" i="1"/>
  <c r="K79" i="1"/>
  <c r="J79" i="1"/>
  <c r="I79" i="1"/>
  <c r="H79" i="1"/>
  <c r="L78" i="1"/>
  <c r="K78" i="1"/>
  <c r="J78" i="1"/>
  <c r="I78" i="1"/>
  <c r="H78" i="1"/>
  <c r="L73" i="1"/>
  <c r="K73" i="1"/>
  <c r="J73" i="1"/>
  <c r="I73" i="1"/>
  <c r="H73" i="1"/>
  <c r="L71" i="1"/>
  <c r="K71" i="1"/>
  <c r="J71" i="1"/>
  <c r="I71" i="1"/>
  <c r="H71" i="1"/>
  <c r="L69" i="1"/>
  <c r="K69" i="1"/>
  <c r="J69" i="1"/>
  <c r="I69" i="1"/>
  <c r="H69" i="1"/>
  <c r="L68" i="1"/>
  <c r="K68" i="1"/>
  <c r="J68" i="1"/>
  <c r="I68" i="1"/>
  <c r="H68" i="1"/>
  <c r="V67" i="1"/>
  <c r="U67" i="1"/>
  <c r="T67" i="1"/>
  <c r="S67" i="1"/>
  <c r="R67" i="1"/>
  <c r="Q67" i="1"/>
  <c r="P67" i="1"/>
  <c r="O67" i="1"/>
  <c r="N67" i="1"/>
  <c r="M67" i="1"/>
  <c r="L67" i="1"/>
  <c r="K67" i="1"/>
  <c r="J67" i="1"/>
  <c r="I67" i="1"/>
  <c r="H67" i="1"/>
  <c r="L65" i="1"/>
  <c r="K65" i="1"/>
  <c r="J65" i="1"/>
  <c r="I65" i="1"/>
  <c r="H65" i="1"/>
  <c r="L64" i="1"/>
  <c r="K64" i="1"/>
  <c r="J64" i="1"/>
  <c r="I64" i="1"/>
  <c r="H64" i="1"/>
  <c r="V63" i="1"/>
  <c r="U63" i="1"/>
  <c r="T63" i="1"/>
  <c r="S63" i="1"/>
  <c r="R63" i="1"/>
  <c r="Q63" i="1"/>
  <c r="P63" i="1"/>
  <c r="O63" i="1"/>
  <c r="N63" i="1"/>
  <c r="M63" i="1"/>
  <c r="L63" i="1"/>
  <c r="K63" i="1"/>
  <c r="J63" i="1"/>
  <c r="I63" i="1"/>
  <c r="H63" i="1"/>
  <c r="V61" i="1"/>
  <c r="U61" i="1"/>
  <c r="T61" i="1"/>
  <c r="S61" i="1"/>
  <c r="R61" i="1"/>
  <c r="Q61" i="1"/>
  <c r="P61" i="1"/>
  <c r="O61" i="1"/>
  <c r="N61" i="1"/>
  <c r="M61" i="1"/>
  <c r="L61" i="1"/>
  <c r="K61" i="1"/>
  <c r="J61" i="1"/>
  <c r="I61" i="1"/>
  <c r="H61" i="1"/>
  <c r="L60" i="1"/>
  <c r="K60" i="1"/>
  <c r="J60" i="1"/>
  <c r="I60" i="1"/>
  <c r="H60" i="1"/>
  <c r="L59" i="1"/>
  <c r="K59" i="1"/>
  <c r="J59" i="1"/>
  <c r="I59" i="1"/>
  <c r="H59" i="1"/>
  <c r="L56" i="1"/>
  <c r="K56" i="1"/>
  <c r="J56" i="1"/>
  <c r="I56" i="1"/>
  <c r="H56" i="1"/>
  <c r="V55" i="1"/>
  <c r="U55" i="1"/>
  <c r="T55" i="1"/>
  <c r="S55" i="1"/>
  <c r="R55" i="1"/>
  <c r="Q55" i="1"/>
  <c r="P55" i="1"/>
  <c r="O55" i="1"/>
  <c r="N55" i="1"/>
  <c r="M55" i="1"/>
  <c r="L55" i="1"/>
  <c r="K55" i="1"/>
  <c r="J55" i="1"/>
  <c r="I55" i="1"/>
  <c r="H55" i="1"/>
  <c r="V54" i="1"/>
  <c r="U54" i="1"/>
  <c r="T54" i="1"/>
  <c r="S54" i="1"/>
  <c r="R54" i="1"/>
  <c r="Q54" i="1"/>
  <c r="P54" i="1"/>
  <c r="O54" i="1"/>
  <c r="N54" i="1"/>
  <c r="M54" i="1"/>
  <c r="L54" i="1"/>
  <c r="K54" i="1"/>
  <c r="J54" i="1"/>
  <c r="I54" i="1"/>
  <c r="H54" i="1"/>
  <c r="L52" i="1"/>
  <c r="K52" i="1"/>
  <c r="J52" i="1"/>
  <c r="I52" i="1"/>
  <c r="H52" i="1"/>
  <c r="V49" i="1"/>
  <c r="U49" i="1"/>
  <c r="T49" i="1"/>
  <c r="S49" i="1"/>
  <c r="R49" i="1"/>
  <c r="Q49" i="1"/>
  <c r="P49" i="1"/>
  <c r="O49" i="1"/>
  <c r="N49" i="1"/>
  <c r="M49" i="1"/>
  <c r="L49" i="1"/>
  <c r="K49" i="1"/>
  <c r="J49" i="1"/>
  <c r="I49" i="1"/>
  <c r="H49" i="1"/>
  <c r="L48" i="1"/>
  <c r="K48" i="1"/>
  <c r="J48" i="1"/>
  <c r="I48" i="1"/>
  <c r="H48" i="1"/>
  <c r="L47" i="1"/>
  <c r="K47" i="1"/>
  <c r="J47" i="1"/>
  <c r="I47" i="1"/>
  <c r="H47" i="1"/>
  <c r="V46" i="1"/>
  <c r="U46" i="1"/>
  <c r="T46" i="1"/>
  <c r="S46" i="1"/>
  <c r="R46" i="1"/>
  <c r="Q46" i="1"/>
  <c r="P46" i="1"/>
  <c r="O46" i="1"/>
  <c r="N46" i="1"/>
  <c r="M46" i="1"/>
  <c r="L46" i="1"/>
  <c r="K46" i="1"/>
  <c r="J46" i="1"/>
  <c r="I46" i="1"/>
  <c r="H46" i="1"/>
  <c r="L45" i="1"/>
  <c r="K45" i="1"/>
  <c r="J45" i="1"/>
  <c r="I45" i="1"/>
  <c r="H45" i="1"/>
  <c r="L44" i="1"/>
  <c r="K44" i="1"/>
  <c r="J44" i="1"/>
  <c r="I44" i="1"/>
  <c r="H44" i="1"/>
  <c r="L38" i="1"/>
  <c r="K38" i="1"/>
  <c r="J38" i="1"/>
  <c r="I38" i="1"/>
  <c r="H38" i="1"/>
  <c r="L37" i="1"/>
  <c r="K37" i="1"/>
  <c r="J37" i="1"/>
  <c r="I37" i="1"/>
  <c r="H37" i="1"/>
  <c r="L36" i="1"/>
  <c r="K36" i="1"/>
  <c r="J36" i="1"/>
  <c r="I36" i="1"/>
  <c r="H36" i="1"/>
  <c r="L35" i="1"/>
  <c r="K35" i="1"/>
  <c r="J35" i="1"/>
  <c r="I35" i="1"/>
  <c r="H35" i="1"/>
  <c r="V34" i="1"/>
  <c r="U34" i="1"/>
  <c r="T34" i="1"/>
  <c r="S34" i="1"/>
  <c r="R34" i="1"/>
  <c r="Q34" i="1"/>
  <c r="P34" i="1"/>
  <c r="O34" i="1"/>
  <c r="N34" i="1"/>
  <c r="M34" i="1"/>
  <c r="L34" i="1"/>
  <c r="K34" i="1"/>
  <c r="J34" i="1"/>
  <c r="I34" i="1"/>
  <c r="H34" i="1"/>
  <c r="L33" i="1"/>
  <c r="K33" i="1"/>
  <c r="J33" i="1"/>
  <c r="I33" i="1"/>
  <c r="H33" i="1"/>
  <c r="N147" i="1"/>
  <c r="L32" i="1"/>
  <c r="K32" i="1"/>
  <c r="J32" i="1"/>
  <c r="I32" i="1"/>
  <c r="H32" i="1"/>
  <c r="L31" i="1"/>
  <c r="K31" i="1"/>
  <c r="J31" i="1"/>
  <c r="I31" i="1"/>
  <c r="H31" i="1"/>
  <c r="L30" i="1"/>
  <c r="K30" i="1"/>
  <c r="J30" i="1"/>
  <c r="I30" i="1"/>
  <c r="H30" i="1"/>
  <c r="L29" i="1"/>
  <c r="K29" i="1"/>
  <c r="J29" i="1"/>
  <c r="I29" i="1"/>
  <c r="H29" i="1"/>
  <c r="L27" i="1"/>
  <c r="K27" i="1"/>
  <c r="J27" i="1"/>
  <c r="I27" i="1"/>
  <c r="H27" i="1"/>
  <c r="L26" i="1"/>
  <c r="K26" i="1"/>
  <c r="J26" i="1"/>
  <c r="I26" i="1"/>
  <c r="H26" i="1"/>
  <c r="L25" i="1"/>
  <c r="K25" i="1"/>
  <c r="J25" i="1"/>
  <c r="I25" i="1"/>
  <c r="H25" i="1"/>
  <c r="V20" i="1"/>
  <c r="U20" i="1"/>
  <c r="T20" i="1"/>
  <c r="S20" i="1"/>
  <c r="R20" i="1"/>
  <c r="Q20" i="1"/>
  <c r="P20" i="1"/>
  <c r="O20" i="1"/>
  <c r="N20" i="1"/>
  <c r="M20" i="1"/>
  <c r="L20" i="1"/>
  <c r="K20" i="1"/>
  <c r="J20" i="1"/>
  <c r="I20" i="1"/>
  <c r="H20" i="1"/>
  <c r="V19" i="1"/>
  <c r="U19" i="1"/>
  <c r="T19" i="1"/>
  <c r="S19" i="1"/>
  <c r="R19" i="1"/>
  <c r="Q19" i="1"/>
  <c r="P19" i="1"/>
  <c r="O19" i="1"/>
  <c r="N19" i="1"/>
  <c r="M19" i="1"/>
  <c r="L19" i="1"/>
  <c r="K19" i="1"/>
  <c r="J19" i="1"/>
  <c r="I19" i="1"/>
  <c r="H19" i="1"/>
  <c r="V18" i="1"/>
  <c r="U18" i="1"/>
  <c r="T18" i="1"/>
  <c r="S18" i="1"/>
  <c r="R18" i="1"/>
  <c r="Q18" i="1"/>
  <c r="P18" i="1"/>
  <c r="O18" i="1"/>
  <c r="N18" i="1"/>
  <c r="M18" i="1"/>
  <c r="L18" i="1"/>
  <c r="K18" i="1"/>
  <c r="J18" i="1"/>
  <c r="I18" i="1"/>
  <c r="H18" i="1"/>
  <c r="V17" i="1"/>
  <c r="U17" i="1"/>
  <c r="T17" i="1"/>
  <c r="S17" i="1"/>
  <c r="R17" i="1"/>
  <c r="Q17" i="1"/>
  <c r="P17" i="1"/>
  <c r="O17" i="1"/>
  <c r="N17" i="1"/>
  <c r="M17" i="1"/>
  <c r="L17" i="1"/>
  <c r="K17" i="1"/>
  <c r="J17" i="1"/>
  <c r="I17" i="1"/>
  <c r="H17" i="1"/>
  <c r="V16" i="1"/>
  <c r="U16" i="1"/>
  <c r="T16" i="1"/>
  <c r="S16" i="1"/>
  <c r="R16" i="1"/>
  <c r="Q16" i="1"/>
  <c r="P16" i="1"/>
  <c r="O16" i="1"/>
  <c r="N16" i="1"/>
  <c r="M16" i="1"/>
  <c r="L16" i="1"/>
  <c r="K16" i="1"/>
  <c r="J16" i="1"/>
  <c r="I16" i="1"/>
  <c r="H16" i="1"/>
  <c r="V15" i="1"/>
  <c r="U15" i="1"/>
  <c r="T15" i="1"/>
  <c r="S15" i="1"/>
  <c r="R15" i="1"/>
  <c r="Q15" i="1"/>
  <c r="P15" i="1"/>
  <c r="O15" i="1"/>
  <c r="N15" i="1"/>
  <c r="M15" i="1"/>
  <c r="L15" i="1"/>
  <c r="K15" i="1"/>
  <c r="J15" i="1"/>
  <c r="I15" i="1"/>
  <c r="H15" i="1"/>
  <c r="V14" i="1"/>
  <c r="U14" i="1"/>
  <c r="T14" i="1"/>
  <c r="S14" i="1"/>
  <c r="R14" i="1"/>
  <c r="Q14" i="1"/>
  <c r="P14" i="1"/>
  <c r="O14" i="1"/>
  <c r="N14" i="1"/>
  <c r="M14" i="1"/>
  <c r="L14" i="1"/>
  <c r="K14" i="1"/>
  <c r="J14" i="1"/>
  <c r="I14" i="1"/>
  <c r="H14" i="1"/>
  <c r="V13" i="1"/>
  <c r="U13" i="1"/>
  <c r="T13" i="1"/>
  <c r="S13" i="1"/>
  <c r="R13" i="1"/>
  <c r="Q13" i="1"/>
  <c r="P13" i="1"/>
  <c r="O13" i="1"/>
  <c r="N13" i="1"/>
  <c r="M13" i="1"/>
  <c r="L13" i="1"/>
  <c r="K13" i="1"/>
  <c r="J13" i="1"/>
  <c r="I13" i="1"/>
  <c r="L12" i="1"/>
  <c r="K12" i="1"/>
  <c r="J12" i="1"/>
  <c r="V11" i="1"/>
  <c r="U11" i="1"/>
  <c r="T11" i="1"/>
  <c r="S11" i="1"/>
  <c r="R11" i="1"/>
  <c r="Q11" i="1"/>
  <c r="P11" i="1"/>
  <c r="O11" i="1"/>
  <c r="N11" i="1"/>
  <c r="M11" i="1"/>
  <c r="L11" i="1"/>
  <c r="K11" i="1"/>
  <c r="J11" i="1"/>
  <c r="I11" i="1"/>
  <c r="H11" i="1"/>
  <c r="V10" i="1"/>
  <c r="U10" i="1"/>
  <c r="T10" i="1"/>
  <c r="S10" i="1"/>
  <c r="R10" i="1"/>
  <c r="Q10" i="1"/>
  <c r="P10" i="1"/>
  <c r="O10" i="1"/>
  <c r="N10" i="1"/>
  <c r="M10" i="1"/>
  <c r="L10" i="1"/>
  <c r="K10" i="1"/>
  <c r="J10" i="1"/>
  <c r="I10" i="1"/>
  <c r="H10" i="1"/>
  <c r="V9" i="1"/>
  <c r="U9" i="1"/>
  <c r="T9" i="1"/>
  <c r="S9" i="1"/>
  <c r="R9" i="1"/>
  <c r="Q9" i="1"/>
  <c r="P9" i="1"/>
  <c r="O9" i="1"/>
  <c r="N9" i="1"/>
  <c r="M9" i="1"/>
  <c r="L9" i="1"/>
  <c r="K9" i="1"/>
  <c r="J9" i="1"/>
  <c r="I9" i="1"/>
  <c r="H9" i="1"/>
  <c r="L8" i="1"/>
  <c r="K8" i="1"/>
  <c r="J8" i="1"/>
  <c r="I8" i="1"/>
  <c r="G7" i="1"/>
  <c r="N25" i="1" s="1"/>
  <c r="L3" i="1"/>
  <c r="K3" i="1"/>
  <c r="J3" i="1"/>
  <c r="I3" i="1"/>
  <c r="H3" i="1"/>
  <c r="V2" i="1"/>
  <c r="U2" i="1"/>
  <c r="T2" i="1"/>
  <c r="S2" i="1"/>
  <c r="R2" i="1"/>
  <c r="Q2" i="1"/>
  <c r="P2" i="1"/>
  <c r="O2" i="1"/>
  <c r="N2" i="1"/>
  <c r="M2" i="1"/>
  <c r="L2" i="1"/>
  <c r="K2" i="1"/>
  <c r="J2" i="1"/>
  <c r="I2" i="1"/>
  <c r="H2" i="1"/>
  <c r="A1" i="1"/>
  <c r="Q117" i="3"/>
  <c r="P117" i="3"/>
  <c r="O117" i="3"/>
  <c r="L113" i="3"/>
  <c r="K113" i="3"/>
  <c r="J113" i="3"/>
  <c r="I113" i="3"/>
  <c r="H113" i="3"/>
  <c r="L111" i="3"/>
  <c r="K111" i="3"/>
  <c r="J111" i="3"/>
  <c r="I111" i="3"/>
  <c r="H111" i="3"/>
  <c r="L110" i="3"/>
  <c r="K110" i="3"/>
  <c r="J110" i="3"/>
  <c r="I110" i="3"/>
  <c r="H110" i="3"/>
  <c r="L101" i="3"/>
  <c r="K101" i="3"/>
  <c r="J101" i="3"/>
  <c r="I101" i="3"/>
  <c r="H101" i="3"/>
  <c r="L95" i="3"/>
  <c r="K95" i="3"/>
  <c r="J95" i="3"/>
  <c r="I95" i="3"/>
  <c r="H95" i="3"/>
  <c r="L93" i="3"/>
  <c r="K93" i="3"/>
  <c r="J93" i="3"/>
  <c r="I93" i="3"/>
  <c r="H93" i="3"/>
  <c r="L75" i="3"/>
  <c r="K75" i="3"/>
  <c r="J75" i="3"/>
  <c r="I75" i="3"/>
  <c r="L73" i="3"/>
  <c r="K73" i="3"/>
  <c r="J73" i="3"/>
  <c r="I73" i="3"/>
  <c r="H73" i="3"/>
  <c r="L72" i="3"/>
  <c r="K72" i="3"/>
  <c r="J72" i="3"/>
  <c r="I72" i="3"/>
  <c r="H72" i="3"/>
  <c r="L71" i="3"/>
  <c r="K71" i="3"/>
  <c r="J71" i="3"/>
  <c r="I71" i="3"/>
  <c r="H71" i="3"/>
  <c r="L59" i="3"/>
  <c r="K59" i="3"/>
  <c r="J59" i="3"/>
  <c r="I59" i="3"/>
  <c r="H59" i="3"/>
  <c r="L54" i="3"/>
  <c r="K54" i="3"/>
  <c r="J54" i="3"/>
  <c r="I54" i="3"/>
  <c r="H54" i="3"/>
  <c r="L49" i="3"/>
  <c r="K49" i="3"/>
  <c r="J49" i="3"/>
  <c r="I49" i="3"/>
  <c r="H49" i="3"/>
  <c r="L48" i="3"/>
  <c r="K48" i="3"/>
  <c r="J48" i="3"/>
  <c r="I48" i="3"/>
  <c r="H48" i="3"/>
  <c r="L38" i="3"/>
  <c r="K38" i="3"/>
  <c r="J38" i="3"/>
  <c r="I38" i="3"/>
  <c r="H38" i="3"/>
  <c r="L27" i="3"/>
  <c r="K27" i="3"/>
  <c r="J27" i="3"/>
  <c r="I27" i="3"/>
  <c r="L24" i="3"/>
  <c r="K24" i="3"/>
  <c r="J24" i="3"/>
  <c r="I24" i="3"/>
  <c r="H24" i="3"/>
  <c r="L23" i="3"/>
  <c r="K23" i="3"/>
  <c r="J23" i="3"/>
  <c r="I23" i="3"/>
  <c r="H23" i="3"/>
  <c r="L18" i="3"/>
  <c r="K18" i="3"/>
  <c r="J18" i="3"/>
  <c r="I18" i="3"/>
  <c r="H18" i="3"/>
  <c r="L17" i="3"/>
  <c r="K17" i="3"/>
  <c r="J17" i="3"/>
  <c r="I17" i="3"/>
  <c r="H17" i="3"/>
  <c r="L7" i="3"/>
  <c r="K7" i="3"/>
  <c r="J7" i="3"/>
  <c r="I7" i="3"/>
  <c r="H7" i="3"/>
  <c r="L4" i="3"/>
  <c r="K4" i="3"/>
  <c r="J4" i="3"/>
  <c r="I4" i="3"/>
  <c r="C15" i="15"/>
  <c r="N26" i="1" l="1"/>
  <c r="M30" i="1"/>
  <c r="M47" i="1"/>
  <c r="M26" i="1"/>
  <c r="M29" i="1"/>
  <c r="M35" i="1"/>
  <c r="U16" i="4"/>
  <c r="M16" i="4"/>
  <c r="K159" i="1"/>
  <c r="K163" i="1" s="1"/>
  <c r="K165" i="1" s="1"/>
  <c r="O159" i="1" s="1"/>
  <c r="H17" i="8"/>
  <c r="E138" i="1"/>
  <c r="N35" i="1"/>
  <c r="N30" i="1"/>
  <c r="N47" i="1"/>
  <c r="N29" i="1"/>
  <c r="O25" i="1"/>
  <c r="N115" i="1"/>
  <c r="N117" i="1" s="1"/>
  <c r="N118" i="1" s="1"/>
  <c r="M27" i="1" l="1"/>
  <c r="H11" i="17" s="1"/>
  <c r="M89" i="1"/>
  <c r="M91" i="1" s="1"/>
  <c r="M80" i="1"/>
  <c r="M48" i="1"/>
  <c r="M60" i="1"/>
  <c r="M31" i="1"/>
  <c r="M108" i="1"/>
  <c r="H27" i="8"/>
  <c r="K17" i="8"/>
  <c r="J17" i="8"/>
  <c r="H29" i="8" s="1"/>
  <c r="H40" i="8" s="1"/>
  <c r="H41" i="8" s="1"/>
  <c r="H43" i="8" s="1"/>
  <c r="E136" i="1" s="1"/>
  <c r="T16" i="4"/>
  <c r="S16" i="4"/>
  <c r="N60" i="1"/>
  <c r="N48" i="1"/>
  <c r="N89" i="1"/>
  <c r="N91" i="1" s="1"/>
  <c r="N80" i="1"/>
  <c r="O47" i="1"/>
  <c r="O108" i="1" s="1"/>
  <c r="O26" i="1"/>
  <c r="O27" i="1" s="1"/>
  <c r="O35" i="1"/>
  <c r="O30" i="1"/>
  <c r="O29" i="1"/>
  <c r="P25" i="1"/>
  <c r="N108" i="1"/>
  <c r="N27" i="1"/>
  <c r="O115" i="1"/>
  <c r="N52" i="1"/>
  <c r="N79" i="1"/>
  <c r="N32" i="1"/>
  <c r="M59" i="1" l="1"/>
  <c r="M110" i="1"/>
  <c r="M65" i="1"/>
  <c r="H12" i="17"/>
  <c r="M33" i="1"/>
  <c r="M109" i="1"/>
  <c r="P29" i="1"/>
  <c r="Q25" i="1"/>
  <c r="P47" i="1"/>
  <c r="P26" i="1"/>
  <c r="P30" i="1"/>
  <c r="P35" i="1"/>
  <c r="P108" i="1"/>
  <c r="N109" i="1"/>
  <c r="O31" i="1"/>
  <c r="J12" i="17" s="1"/>
  <c r="J11" i="17"/>
  <c r="N31" i="1"/>
  <c r="I12" i="17" s="1"/>
  <c r="I11" i="17"/>
  <c r="O89" i="1"/>
  <c r="O91" i="1" s="1"/>
  <c r="O80" i="1"/>
  <c r="O60" i="1"/>
  <c r="O48" i="1"/>
  <c r="N110" i="1"/>
  <c r="N59" i="1"/>
  <c r="N65" i="1"/>
  <c r="O117" i="1"/>
  <c r="O118" i="1" s="1"/>
  <c r="O147" i="1"/>
  <c r="M112" i="1" l="1"/>
  <c r="M81" i="1" s="1"/>
  <c r="P27" i="1"/>
  <c r="K11" i="17" s="1"/>
  <c r="H13" i="17"/>
  <c r="N144" i="1"/>
  <c r="N145" i="1" s="1"/>
  <c r="N146" i="1" s="1"/>
  <c r="M36" i="1"/>
  <c r="N33" i="1"/>
  <c r="I13" i="17" s="1"/>
  <c r="N112" i="1"/>
  <c r="N81" i="1" s="1"/>
  <c r="O65" i="1"/>
  <c r="O110" i="1"/>
  <c r="O59" i="1"/>
  <c r="O109" i="1"/>
  <c r="P89" i="1"/>
  <c r="P91" i="1" s="1"/>
  <c r="P80" i="1"/>
  <c r="P48" i="1"/>
  <c r="P109" i="1" s="1"/>
  <c r="P60" i="1"/>
  <c r="Q29" i="1"/>
  <c r="R25" i="1"/>
  <c r="Q35" i="1"/>
  <c r="Q30" i="1"/>
  <c r="Q26" i="1"/>
  <c r="Q47" i="1"/>
  <c r="Q108" i="1" s="1"/>
  <c r="O79" i="1"/>
  <c r="O32" i="1"/>
  <c r="P115" i="1"/>
  <c r="O52" i="1"/>
  <c r="N149" i="1" l="1"/>
  <c r="N150" i="1"/>
  <c r="N152" i="1" s="1"/>
  <c r="N36" i="1"/>
  <c r="N37" i="1" s="1"/>
  <c r="N38" i="1" s="1"/>
  <c r="P31" i="1"/>
  <c r="K12" i="17" s="1"/>
  <c r="O144" i="1"/>
  <c r="O145" i="1" s="1"/>
  <c r="O146" i="1" s="1"/>
  <c r="H14" i="17"/>
  <c r="M37" i="1"/>
  <c r="M38" i="1" s="1"/>
  <c r="O149" i="1"/>
  <c r="O112" i="1"/>
  <c r="O81" i="1" s="1"/>
  <c r="Q48" i="1"/>
  <c r="Q109" i="1" s="1"/>
  <c r="Q60" i="1"/>
  <c r="Q89" i="1"/>
  <c r="Q91" i="1" s="1"/>
  <c r="Q80" i="1"/>
  <c r="R35" i="1"/>
  <c r="R30" i="1"/>
  <c r="R47" i="1"/>
  <c r="R108" i="1" s="1"/>
  <c r="R26" i="1"/>
  <c r="R29" i="1"/>
  <c r="S25" i="1"/>
  <c r="Q27" i="1"/>
  <c r="P65" i="1"/>
  <c r="P110" i="1"/>
  <c r="P112" i="1" s="1"/>
  <c r="P59" i="1"/>
  <c r="P147" i="1"/>
  <c r="O33" i="1"/>
  <c r="P117" i="1"/>
  <c r="P118" i="1" s="1"/>
  <c r="I14" i="17" l="1"/>
  <c r="O150" i="1"/>
  <c r="O152" i="1" s="1"/>
  <c r="M96" i="1"/>
  <c r="M98" i="1" s="1"/>
  <c r="M78" i="1"/>
  <c r="M82" i="1" s="1"/>
  <c r="H16" i="17"/>
  <c r="H22" i="17"/>
  <c r="R27" i="1"/>
  <c r="R31" i="1" s="1"/>
  <c r="M12" i="17" s="1"/>
  <c r="P149" i="1"/>
  <c r="L11" i="17"/>
  <c r="Q31" i="1"/>
  <c r="L12" i="17" s="1"/>
  <c r="Q65" i="1"/>
  <c r="Q110" i="1"/>
  <c r="Q112" i="1" s="1"/>
  <c r="Q59" i="1"/>
  <c r="R60" i="1"/>
  <c r="R48" i="1"/>
  <c r="R89" i="1"/>
  <c r="R91" i="1" s="1"/>
  <c r="R80" i="1"/>
  <c r="S47" i="1"/>
  <c r="S108" i="1" s="1"/>
  <c r="S26" i="1"/>
  <c r="S35" i="1"/>
  <c r="S30" i="1"/>
  <c r="S29" i="1"/>
  <c r="T25" i="1"/>
  <c r="P81" i="1"/>
  <c r="Q149" i="1"/>
  <c r="I16" i="17"/>
  <c r="I22" i="17"/>
  <c r="N96" i="1"/>
  <c r="N98" i="1" s="1"/>
  <c r="N78" i="1"/>
  <c r="N82" i="1" s="1"/>
  <c r="P32" i="1"/>
  <c r="P79" i="1"/>
  <c r="J13" i="17"/>
  <c r="P144" i="1"/>
  <c r="O36" i="1"/>
  <c r="P52" i="1"/>
  <c r="Q115" i="1"/>
  <c r="M11" i="17" l="1"/>
  <c r="H24" i="17"/>
  <c r="M68" i="1"/>
  <c r="M69" i="1" s="1"/>
  <c r="S27" i="1"/>
  <c r="S31" i="1" s="1"/>
  <c r="N12" i="17" s="1"/>
  <c r="M100" i="1"/>
  <c r="M102" i="1" s="1"/>
  <c r="Q81" i="1"/>
  <c r="R149" i="1"/>
  <c r="R110" i="1"/>
  <c r="R59" i="1"/>
  <c r="R65" i="1"/>
  <c r="S89" i="1"/>
  <c r="S91" i="1" s="1"/>
  <c r="S80" i="1"/>
  <c r="S60" i="1"/>
  <c r="S48" i="1"/>
  <c r="T29" i="1"/>
  <c r="U25" i="1"/>
  <c r="T47" i="1"/>
  <c r="T108" i="1" s="1"/>
  <c r="T26" i="1"/>
  <c r="T30" i="1"/>
  <c r="T35" i="1"/>
  <c r="R109" i="1"/>
  <c r="N100" i="1"/>
  <c r="J14" i="17"/>
  <c r="O37" i="1"/>
  <c r="O38" i="1" s="1"/>
  <c r="Q147" i="1"/>
  <c r="P33" i="1"/>
  <c r="Q117" i="1"/>
  <c r="Q118" i="1" s="1"/>
  <c r="P145" i="1"/>
  <c r="P146" i="1" s="1"/>
  <c r="P150" i="1" s="1"/>
  <c r="P152" i="1" s="1"/>
  <c r="N68" i="1"/>
  <c r="I24" i="17"/>
  <c r="N11" i="17" l="1"/>
  <c r="H34" i="17"/>
  <c r="H35" i="17"/>
  <c r="H46" i="17"/>
  <c r="M71" i="1"/>
  <c r="N101" i="1"/>
  <c r="N102" i="1" s="1"/>
  <c r="M45" i="1"/>
  <c r="T48" i="1"/>
  <c r="T60" i="1"/>
  <c r="S65" i="1"/>
  <c r="S110" i="1"/>
  <c r="S59" i="1"/>
  <c r="R112" i="1"/>
  <c r="T89" i="1"/>
  <c r="T91" i="1" s="1"/>
  <c r="T80" i="1"/>
  <c r="U29" i="1"/>
  <c r="V25" i="1"/>
  <c r="U35" i="1"/>
  <c r="U30" i="1"/>
  <c r="U26" i="1"/>
  <c r="U47" i="1"/>
  <c r="U108" i="1" s="1"/>
  <c r="S109" i="1"/>
  <c r="T27" i="1"/>
  <c r="Q79" i="1"/>
  <c r="Q32" i="1"/>
  <c r="Q144" i="1"/>
  <c r="K13" i="17"/>
  <c r="P36" i="1"/>
  <c r="N69" i="1"/>
  <c r="Q52" i="1"/>
  <c r="R115" i="1"/>
  <c r="J22" i="17"/>
  <c r="J16" i="17"/>
  <c r="O96" i="1"/>
  <c r="O98" i="1" s="1"/>
  <c r="O78" i="1"/>
  <c r="O82" i="1" s="1"/>
  <c r="N45" i="1" l="1"/>
  <c r="O101" i="1"/>
  <c r="U27" i="1"/>
  <c r="P11" i="17" s="1"/>
  <c r="T109" i="1"/>
  <c r="M44" i="1"/>
  <c r="H45" i="17" s="1"/>
  <c r="H29" i="17"/>
  <c r="M56" i="1"/>
  <c r="H28" i="17"/>
  <c r="V35" i="1"/>
  <c r="V30" i="1"/>
  <c r="V47" i="1"/>
  <c r="V26" i="1"/>
  <c r="V27" i="1" s="1"/>
  <c r="V29" i="1"/>
  <c r="O11" i="17"/>
  <c r="T31" i="1"/>
  <c r="O12" i="17" s="1"/>
  <c r="U48" i="1"/>
  <c r="U109" i="1" s="1"/>
  <c r="U60" i="1"/>
  <c r="U89" i="1"/>
  <c r="U91" i="1" s="1"/>
  <c r="U80" i="1"/>
  <c r="R81" i="1"/>
  <c r="S149" i="1"/>
  <c r="T65" i="1"/>
  <c r="T110" i="1"/>
  <c r="T59" i="1"/>
  <c r="S112" i="1"/>
  <c r="O100" i="1"/>
  <c r="J24" i="17"/>
  <c r="O68" i="1"/>
  <c r="Q145" i="1"/>
  <c r="Q146" i="1" s="1"/>
  <c r="Q150" i="1" s="1"/>
  <c r="Q152" i="1" s="1"/>
  <c r="I34" i="17"/>
  <c r="I35" i="17"/>
  <c r="N71" i="1"/>
  <c r="I46" i="17"/>
  <c r="Q33" i="1"/>
  <c r="R147" i="1"/>
  <c r="R117" i="1"/>
  <c r="R118" i="1" s="1"/>
  <c r="K14" i="17"/>
  <c r="P37" i="1"/>
  <c r="P38" i="1" s="1"/>
  <c r="T112" i="1" l="1"/>
  <c r="U31" i="1"/>
  <c r="P12" i="17" s="1"/>
  <c r="H33" i="17"/>
  <c r="M73" i="1"/>
  <c r="M3" i="1" s="1"/>
  <c r="O102" i="1"/>
  <c r="P101" i="1" s="1"/>
  <c r="N44" i="1"/>
  <c r="I45" i="17" s="1"/>
  <c r="N56" i="1"/>
  <c r="I28" i="17"/>
  <c r="I29" i="17"/>
  <c r="V108" i="1"/>
  <c r="T81" i="1"/>
  <c r="U149" i="1"/>
  <c r="U65" i="1"/>
  <c r="U110" i="1"/>
  <c r="U112" i="1" s="1"/>
  <c r="U59" i="1"/>
  <c r="V89" i="1"/>
  <c r="V91" i="1" s="1"/>
  <c r="V80" i="1"/>
  <c r="V31" i="1"/>
  <c r="Q12" i="17" s="1"/>
  <c r="Q11" i="17"/>
  <c r="T149" i="1"/>
  <c r="S81" i="1"/>
  <c r="V60" i="1"/>
  <c r="V48" i="1"/>
  <c r="K16" i="17"/>
  <c r="P96" i="1"/>
  <c r="P98" i="1" s="1"/>
  <c r="P78" i="1"/>
  <c r="P82" i="1" s="1"/>
  <c r="K22" i="17"/>
  <c r="L13" i="17"/>
  <c r="R144" i="1"/>
  <c r="Q36" i="1"/>
  <c r="S115" i="1"/>
  <c r="R52" i="1"/>
  <c r="R79" i="1"/>
  <c r="R32" i="1"/>
  <c r="O69" i="1"/>
  <c r="O45" i="1" l="1"/>
  <c r="O56" i="1" s="1"/>
  <c r="N73" i="1"/>
  <c r="N3" i="1" s="1"/>
  <c r="I33" i="17"/>
  <c r="V109" i="1"/>
  <c r="V110" i="1"/>
  <c r="V59" i="1"/>
  <c r="V65" i="1"/>
  <c r="U81" i="1"/>
  <c r="V149" i="1"/>
  <c r="J29" i="17"/>
  <c r="P68" i="1"/>
  <c r="P69" i="1" s="1"/>
  <c r="J34" i="17"/>
  <c r="J35" i="17"/>
  <c r="O71" i="1"/>
  <c r="O73" i="1" s="1"/>
  <c r="O3" i="1" s="1"/>
  <c r="J46" i="17"/>
  <c r="S117" i="1"/>
  <c r="S118" i="1" s="1"/>
  <c r="L14" i="17"/>
  <c r="Q37" i="1"/>
  <c r="Q38" i="1" s="1"/>
  <c r="S147" i="1"/>
  <c r="R33" i="1"/>
  <c r="R145" i="1"/>
  <c r="R146" i="1" s="1"/>
  <c r="R150" i="1" s="1"/>
  <c r="R152" i="1" s="1"/>
  <c r="P100" i="1"/>
  <c r="P102" i="1" s="1"/>
  <c r="J33" i="17"/>
  <c r="K24" i="17"/>
  <c r="O44" i="1" l="1"/>
  <c r="J45" i="17" s="1"/>
  <c r="J28" i="17"/>
  <c r="V112" i="1"/>
  <c r="P45" i="1"/>
  <c r="Q101" i="1"/>
  <c r="L22" i="17"/>
  <c r="L16" i="17"/>
  <c r="Q96" i="1"/>
  <c r="Q98" i="1" s="1"/>
  <c r="Q78" i="1"/>
  <c r="Q82" i="1" s="1"/>
  <c r="S79" i="1"/>
  <c r="S32" i="1"/>
  <c r="S144" i="1"/>
  <c r="R36" i="1"/>
  <c r="M13" i="17"/>
  <c r="T115" i="1"/>
  <c r="S52" i="1"/>
  <c r="K35" i="17"/>
  <c r="K34" i="17"/>
  <c r="P71" i="1"/>
  <c r="K46" i="17"/>
  <c r="V81" i="1" l="1"/>
  <c r="W149" i="1"/>
  <c r="Q100" i="1"/>
  <c r="Q102" i="1" s="1"/>
  <c r="Q45" i="1" s="1"/>
  <c r="M14" i="17"/>
  <c r="R37" i="1"/>
  <c r="R38" i="1" s="1"/>
  <c r="Q68" i="1"/>
  <c r="S145" i="1"/>
  <c r="S146" i="1" s="1"/>
  <c r="S150" i="1" s="1"/>
  <c r="S152" i="1" s="1"/>
  <c r="T117" i="1"/>
  <c r="T118" i="1" s="1"/>
  <c r="T147" i="1"/>
  <c r="S33" i="1"/>
  <c r="L24" i="17"/>
  <c r="K29" i="17"/>
  <c r="K28" i="17"/>
  <c r="P56" i="1"/>
  <c r="P44" i="1"/>
  <c r="K45" i="17" s="1"/>
  <c r="P73" i="1" l="1"/>
  <c r="P3" i="1" s="1"/>
  <c r="R101" i="1"/>
  <c r="M16" i="17"/>
  <c r="M22" i="17"/>
  <c r="R96" i="1"/>
  <c r="R98" i="1" s="1"/>
  <c r="R78" i="1"/>
  <c r="R82" i="1" s="1"/>
  <c r="N13" i="17"/>
  <c r="T144" i="1"/>
  <c r="S36" i="1"/>
  <c r="L28" i="17"/>
  <c r="L29" i="17"/>
  <c r="Q44" i="1"/>
  <c r="L45" i="17" s="1"/>
  <c r="Q56" i="1"/>
  <c r="K33" i="17"/>
  <c r="T32" i="1"/>
  <c r="T79" i="1"/>
  <c r="Q69" i="1"/>
  <c r="U115" i="1"/>
  <c r="T52" i="1"/>
  <c r="R68" i="1" l="1"/>
  <c r="R69" i="1" s="1"/>
  <c r="R100" i="1"/>
  <c r="R102" i="1" s="1"/>
  <c r="S101" i="1" s="1"/>
  <c r="L33" i="17"/>
  <c r="U117" i="1"/>
  <c r="U118" i="1" s="1"/>
  <c r="L34" i="17"/>
  <c r="L35" i="17"/>
  <c r="Q71" i="1"/>
  <c r="Q73" i="1" s="1"/>
  <c r="Q3" i="1" s="1"/>
  <c r="L46" i="17"/>
  <c r="M24" i="17"/>
  <c r="S37" i="1"/>
  <c r="S38" i="1" s="1"/>
  <c r="N14" i="17"/>
  <c r="T145" i="1"/>
  <c r="T146" i="1" s="1"/>
  <c r="T150" i="1" s="1"/>
  <c r="T152" i="1" s="1"/>
  <c r="T33" i="1"/>
  <c r="U147" i="1"/>
  <c r="R45" i="1" l="1"/>
  <c r="R44" i="1" s="1"/>
  <c r="M45" i="17" s="1"/>
  <c r="N22" i="17"/>
  <c r="N16" i="17"/>
  <c r="S96" i="1"/>
  <c r="S98" i="1" s="1"/>
  <c r="S78" i="1"/>
  <c r="S82" i="1" s="1"/>
  <c r="U144" i="1"/>
  <c r="O13" i="17"/>
  <c r="T36" i="1"/>
  <c r="M28" i="17"/>
  <c r="M29" i="17"/>
  <c r="R56" i="1"/>
  <c r="U52" i="1"/>
  <c r="V115" i="1"/>
  <c r="U79" i="1"/>
  <c r="U32" i="1"/>
  <c r="M34" i="17"/>
  <c r="M35" i="17"/>
  <c r="R71" i="1"/>
  <c r="R73" i="1" s="1"/>
  <c r="R3" i="1" s="1"/>
  <c r="M46" i="17"/>
  <c r="S68" i="1" l="1"/>
  <c r="S69" i="1" s="1"/>
  <c r="S100" i="1"/>
  <c r="S102" i="1" s="1"/>
  <c r="T101" i="1" s="1"/>
  <c r="U33" i="1"/>
  <c r="V147" i="1"/>
  <c r="M33" i="17"/>
  <c r="O14" i="17"/>
  <c r="T37" i="1"/>
  <c r="T38" i="1" s="1"/>
  <c r="V117" i="1"/>
  <c r="U145" i="1"/>
  <c r="U146" i="1" s="1"/>
  <c r="U150" i="1" s="1"/>
  <c r="U152" i="1" s="1"/>
  <c r="N24" i="17"/>
  <c r="S45" i="1" l="1"/>
  <c r="S56" i="1" s="1"/>
  <c r="V79" i="1"/>
  <c r="V32" i="1"/>
  <c r="O16" i="17"/>
  <c r="O22" i="17"/>
  <c r="T96" i="1"/>
  <c r="T98" i="1" s="1"/>
  <c r="T78" i="1"/>
  <c r="T82" i="1" s="1"/>
  <c r="P13" i="17"/>
  <c r="V144" i="1"/>
  <c r="U36" i="1"/>
  <c r="N34" i="17"/>
  <c r="N35" i="17"/>
  <c r="S71" i="1"/>
  <c r="N46" i="17"/>
  <c r="V118" i="1"/>
  <c r="V52" i="1" s="1"/>
  <c r="N28" i="17" l="1"/>
  <c r="S44" i="1"/>
  <c r="N45" i="17" s="1"/>
  <c r="S73" i="1"/>
  <c r="S3" i="1" s="1"/>
  <c r="N29" i="17"/>
  <c r="T100" i="1"/>
  <c r="T102" i="1" s="1"/>
  <c r="T45" i="1" s="1"/>
  <c r="V145" i="1"/>
  <c r="V146" i="1" s="1"/>
  <c r="V150" i="1" s="1"/>
  <c r="V152" i="1" s="1"/>
  <c r="O24" i="17"/>
  <c r="N33" i="17"/>
  <c r="T68" i="1"/>
  <c r="W147" i="1"/>
  <c r="V33" i="1"/>
  <c r="P14" i="17"/>
  <c r="U37" i="1"/>
  <c r="U38" i="1" s="1"/>
  <c r="U101" i="1" l="1"/>
  <c r="T69" i="1"/>
  <c r="P22" i="17"/>
  <c r="P16" i="17"/>
  <c r="U96" i="1"/>
  <c r="U98" i="1" s="1"/>
  <c r="U78" i="1"/>
  <c r="U82" i="1" s="1"/>
  <c r="Q13" i="17"/>
  <c r="W144" i="1"/>
  <c r="V36" i="1"/>
  <c r="O29" i="17"/>
  <c r="O28" i="17"/>
  <c r="T56" i="1"/>
  <c r="T44" i="1"/>
  <c r="O45" i="17" s="1"/>
  <c r="P24" i="17" l="1"/>
  <c r="Q14" i="17"/>
  <c r="V37" i="1"/>
  <c r="V38" i="1" s="1"/>
  <c r="O33" i="17"/>
  <c r="AA147" i="1"/>
  <c r="W145" i="1"/>
  <c r="W146" i="1" s="1"/>
  <c r="W150" i="1" s="1"/>
  <c r="U100" i="1"/>
  <c r="U102" i="1" s="1"/>
  <c r="O35" i="17"/>
  <c r="O34" i="17"/>
  <c r="T71" i="1"/>
  <c r="T73" i="1" s="1"/>
  <c r="T3" i="1" s="1"/>
  <c r="O46" i="17"/>
  <c r="U68" i="1"/>
  <c r="W152" i="1" l="1"/>
  <c r="AA148" i="1"/>
  <c r="AA149" i="1" s="1"/>
  <c r="X150" i="1" s="1"/>
  <c r="X152" i="1" s="1"/>
  <c r="E159" i="1" s="1"/>
  <c r="E163" i="1" s="1"/>
  <c r="E165" i="1" s="1"/>
  <c r="Q16" i="17"/>
  <c r="Q22" i="17"/>
  <c r="V96" i="1"/>
  <c r="V98" i="1" s="1"/>
  <c r="V78" i="1"/>
  <c r="V82" i="1" s="1"/>
  <c r="U69" i="1"/>
  <c r="V101" i="1"/>
  <c r="U45" i="1"/>
  <c r="V100" i="1" l="1"/>
  <c r="V102" i="1" s="1"/>
  <c r="V45" i="1" s="1"/>
  <c r="V68" i="1"/>
  <c r="V69" i="1" s="1"/>
  <c r="Q46" i="17" s="1"/>
  <c r="Q24" i="17"/>
  <c r="P28" i="17"/>
  <c r="P29" i="17"/>
  <c r="U44" i="1"/>
  <c r="P45" i="17" s="1"/>
  <c r="U56" i="1"/>
  <c r="I175" i="1"/>
  <c r="O160" i="1"/>
  <c r="O161" i="1" s="1"/>
  <c r="I184" i="1"/>
  <c r="P34" i="17"/>
  <c r="P35" i="17"/>
  <c r="U71" i="1"/>
  <c r="P46" i="17"/>
  <c r="V71" i="1" l="1"/>
  <c r="U73" i="1"/>
  <c r="U3" i="1" s="1"/>
  <c r="Q35" i="17"/>
  <c r="Q34" i="17"/>
  <c r="Q28" i="17"/>
  <c r="Q29" i="17"/>
  <c r="V44" i="1"/>
  <c r="Q45" i="17" s="1"/>
  <c r="V56" i="1"/>
  <c r="Q33" i="17" s="1"/>
  <c r="P33" i="17"/>
  <c r="V73" i="1" l="1"/>
  <c r="V3" i="1" s="1"/>
  <c r="V8" i="1"/>
  <c r="U8" i="1"/>
  <c r="T8" i="1"/>
  <c r="S8" i="1"/>
  <c r="R8" i="1"/>
  <c r="Q8" i="1"/>
  <c r="P8" i="1"/>
  <c r="O8" i="1"/>
</calcChain>
</file>

<file path=xl/metadata.xml><?xml version="1.0" encoding="utf-8"?>
<metadata xmlns="http://schemas.openxmlformats.org/spreadsheetml/2006/main">
  <metadataTypes count="1">
    <metadataType name="XLDAPR" minSupportedVersion="120000" copy="1" pasteAll="1" pasteValues="1" merge="1" splitFirst="1" rowColShift="1" clearFormats="1" clearComments="1" assign="1" coerce="1" cellMeta="1"/>
  </metadataTypes>
  <futureMetadata name="XLDAPR" count="1">
    <bk>
      <extLst>
        <ext xmlns:xda="http://schemas.microsoft.com/office/spreadsheetml/2017/dynamicarray" uri="{bdbb8cdc-fa1e-496e-a857-3c3f30c029c3}">
          <xda:dynamicArrayProperties fDynamic="1" fCollapsed="0"/>
        </ext>
      </extLst>
    </bk>
  </futureMetadata>
  <cellMetadata count="1">
    <bk>
      <rc t="1" v="0"/>
    </bk>
  </cellMetadata>
</metadata>
</file>

<file path=xl/sharedStrings.xml><?xml version="1.0" encoding="utf-8"?>
<sst xmlns="http://schemas.openxmlformats.org/spreadsheetml/2006/main" count="696" uniqueCount="457">
  <si>
    <t>HISTORICAL FINANCIAL INFORMATION</t>
  </si>
  <si>
    <t>THANGAMAYIL JEWELLERY LIMITED</t>
  </si>
  <si>
    <t>INCOME STATEMENT</t>
  </si>
  <si>
    <t>I. Revenue from operations</t>
  </si>
  <si>
    <t>II. Other income</t>
  </si>
  <si>
    <t>IV. Expenses:</t>
  </si>
  <si>
    <t>Cost of materials consumed</t>
  </si>
  <si>
    <t>Purchases of stock-in-trade</t>
  </si>
  <si>
    <t>Manufacturing Expenses</t>
  </si>
  <si>
    <t>Finance costs</t>
  </si>
  <si>
    <t>Depreciation and amortization expenses</t>
  </si>
  <si>
    <t>Other expenses</t>
  </si>
  <si>
    <t>Total expenses</t>
  </si>
  <si>
    <t>VI. Tax expenses</t>
  </si>
  <si>
    <t>• Current Tax</t>
  </si>
  <si>
    <t>• Adjustment of tax relating to earlier periods</t>
  </si>
  <si>
    <t>• Deferred Tax</t>
  </si>
  <si>
    <t>Total Tax Expenses</t>
  </si>
  <si>
    <t>VIII. Other comprehensive income</t>
  </si>
  <si>
    <t>III. Total income (I+II)</t>
  </si>
  <si>
    <t>V. Profit before tax (III-IV)</t>
  </si>
  <si>
    <t>VII. Profit for the year ( V-VI)</t>
  </si>
  <si>
    <t>-</t>
  </si>
  <si>
    <t>Employee benefits expenses</t>
  </si>
  <si>
    <t>BALANCE SHEET</t>
  </si>
  <si>
    <t>ASSETS</t>
  </si>
  <si>
    <t>Non-current assets</t>
  </si>
  <si>
    <t>a. Property, Plant and Equipment</t>
  </si>
  <si>
    <t>b. Capital work- in-progress</t>
  </si>
  <si>
    <t>c. Intangible assets</t>
  </si>
  <si>
    <t>d. Right-of - Use Assets</t>
  </si>
  <si>
    <t>e. Financial assets</t>
  </si>
  <si>
    <t>f. Deferred Tax Assets (net)</t>
  </si>
  <si>
    <t>g. Other non-current assets</t>
  </si>
  <si>
    <t>Current assets</t>
  </si>
  <si>
    <t>a. Inventories</t>
  </si>
  <si>
    <t>b. Financial assets</t>
  </si>
  <si>
    <t>i. Trade receivables</t>
  </si>
  <si>
    <t>ii. Cash and cash equivalents</t>
  </si>
  <si>
    <t>iii. Bank balances other than (ii) above</t>
  </si>
  <si>
    <t>c. Current Tax Assets (Net)</t>
  </si>
  <si>
    <t>d. Other current assets</t>
  </si>
  <si>
    <t>Total Current Assets</t>
  </si>
  <si>
    <t>TOTAL ASSETS</t>
  </si>
  <si>
    <t>i. Other financial assets(non-current)</t>
  </si>
  <si>
    <t>iv. Other financial assets(current)</t>
  </si>
  <si>
    <t>EQUITY AND LIABILITIES</t>
  </si>
  <si>
    <t>Equity</t>
  </si>
  <si>
    <t>a. Equity share capital</t>
  </si>
  <si>
    <t>b. Other equity</t>
  </si>
  <si>
    <t>Total equity</t>
  </si>
  <si>
    <t>Non-current liabilities</t>
  </si>
  <si>
    <t>a. Financial liabilities</t>
  </si>
  <si>
    <t>i. Lease Liabilities</t>
  </si>
  <si>
    <t>ii. Borrowings</t>
  </si>
  <si>
    <t>Total non-current liabilities</t>
  </si>
  <si>
    <t>Current liabilities</t>
  </si>
  <si>
    <t>i. Borrowings</t>
  </si>
  <si>
    <t>ii. Trade payables</t>
  </si>
  <si>
    <t>• Total outstanding dues of micro and small enterprises</t>
  </si>
  <si>
    <t>• Total outstanding dues of creditors other than micro &amp; small</t>
  </si>
  <si>
    <t>enterprises</t>
  </si>
  <si>
    <t>iii. Lease Liabilities</t>
  </si>
  <si>
    <t>iv. Other financial liabilities</t>
  </si>
  <si>
    <t>b. Other current liabilities</t>
  </si>
  <si>
    <t>c. Current Tax Liability ( net)</t>
  </si>
  <si>
    <t>Total Current Liabilities</t>
  </si>
  <si>
    <t>Total Liabilities</t>
  </si>
  <si>
    <t>TOTAL EQUITY AND LIABILITIES</t>
  </si>
  <si>
    <t>CASHFLOW STATEMENT</t>
  </si>
  <si>
    <t>Adjustments for:</t>
  </si>
  <si>
    <t>Interest income</t>
  </si>
  <si>
    <t>Interest expense</t>
  </si>
  <si>
    <t>Impairment of assets</t>
  </si>
  <si>
    <t>Movements in working capital:</t>
  </si>
  <si>
    <t>(Increase) / Decrease in Inventories</t>
  </si>
  <si>
    <t>(Increase) / Decrease in trade receivables</t>
  </si>
  <si>
    <t>Increase / (Decrease) in gold on loan</t>
  </si>
  <si>
    <t>Cash Generated from Operations</t>
  </si>
  <si>
    <t>Income taxes paid</t>
  </si>
  <si>
    <t>Net cash generated from operating activities (A)</t>
  </si>
  <si>
    <t>Payment for Property ,Plant &amp; Equipment ,Intangible assets including capital Advances</t>
  </si>
  <si>
    <t>Proceeds from sale of Property ,plant &amp; equipment</t>
  </si>
  <si>
    <t>Bank deposits not considered as cash and cash equivalents (net)</t>
  </si>
  <si>
    <t>Interest received</t>
  </si>
  <si>
    <t>Net cash used in investing activities (B)</t>
  </si>
  <si>
    <t>Cash flow from operating activities</t>
  </si>
  <si>
    <t>Net profit before tax</t>
  </si>
  <si>
    <t>Loss / Profit on sale of Property, plant &amp; equipment</t>
  </si>
  <si>
    <t>Operating profit before working capital changes</t>
  </si>
  <si>
    <t>Cash flow from investing activities</t>
  </si>
  <si>
    <t>(Increase) / Decrease in Other financial and non financial assets</t>
  </si>
  <si>
    <t>Increase / (Decrease) in trade payable and other financial and non financial liabilities</t>
  </si>
  <si>
    <t>Proceeds from Issuance of Equity share capital under Rights Issue</t>
  </si>
  <si>
    <t>Transaction cost related to Rights Issue</t>
  </si>
  <si>
    <t>Proceeds / (Repayment) of borrowings</t>
  </si>
  <si>
    <t>Proceeds / (Repayment) of Other borrowings</t>
  </si>
  <si>
    <t>Repayment of Lease liabilities</t>
  </si>
  <si>
    <t>Interest paid</t>
  </si>
  <si>
    <t>Dividend paid</t>
  </si>
  <si>
    <t>Net increase in cash and cash equivalents(A+B+C)</t>
  </si>
  <si>
    <t>Cash and cash equivalents - opening balances</t>
  </si>
  <si>
    <t>Cash and cash equivalents at the end of the year</t>
  </si>
  <si>
    <t>Cash flow from financing activities</t>
  </si>
  <si>
    <t>Net cash used in financing activities (C)</t>
  </si>
  <si>
    <t>Gain on lease modification</t>
  </si>
  <si>
    <t>QUARTERLY FINANCIAL</t>
  </si>
  <si>
    <t>Sales</t>
  </si>
  <si>
    <t>Expenses</t>
  </si>
  <si>
    <t>Operating Profit</t>
  </si>
  <si>
    <t>Other Income</t>
  </si>
  <si>
    <t>Depreciation</t>
  </si>
  <si>
    <t>Interest</t>
  </si>
  <si>
    <t>Profit before tax</t>
  </si>
  <si>
    <t>Tax</t>
  </si>
  <si>
    <t>Net profit</t>
  </si>
  <si>
    <t>Historical Period</t>
  </si>
  <si>
    <t>Forecasted Period</t>
  </si>
  <si>
    <t>Financial Statements &amp; DCF Analysis</t>
  </si>
  <si>
    <t>LIVE SCENARIO</t>
  </si>
  <si>
    <t>Bear Case</t>
  </si>
  <si>
    <t>Units</t>
  </si>
  <si>
    <t>Revenue Growth</t>
  </si>
  <si>
    <t>%</t>
  </si>
  <si>
    <t>Cost of Goods Sold(% of Revenue)</t>
  </si>
  <si>
    <t>Salaries and Benefits(% of Revenue)</t>
  </si>
  <si>
    <t>Other SG&amp;A Expenses(% of Revenue)</t>
  </si>
  <si>
    <t>Depriciation &amp; Amortization Expenses (% of PP&amp;E)</t>
  </si>
  <si>
    <t>Interest (% of Debt)</t>
  </si>
  <si>
    <t>Other Income (Expenses) (% of Revenue)</t>
  </si>
  <si>
    <t>Tax Rate (% of Earnings before tax)</t>
  </si>
  <si>
    <t>Dividends Payout</t>
  </si>
  <si>
    <t>Accounts Receivable</t>
  </si>
  <si>
    <t>Days</t>
  </si>
  <si>
    <t>Inventory</t>
  </si>
  <si>
    <t>Accounts Payable</t>
  </si>
  <si>
    <t>Capital Asset Turnover Ratio</t>
  </si>
  <si>
    <t>Times</t>
  </si>
  <si>
    <t>Master Check</t>
  </si>
  <si>
    <t>Income Statement</t>
  </si>
  <si>
    <t>INCOME</t>
  </si>
  <si>
    <t>Revenue</t>
  </si>
  <si>
    <t>Cost of Goods Sold</t>
  </si>
  <si>
    <t>Gross Profit</t>
  </si>
  <si>
    <t>EXPENSES</t>
  </si>
  <si>
    <t>Salaries and Benefits</t>
  </si>
  <si>
    <t>Other SG&amp;A Expenses</t>
  </si>
  <si>
    <t>EBITDA</t>
  </si>
  <si>
    <t xml:space="preserve">Depriciation &amp; Amortization Expenses </t>
  </si>
  <si>
    <t>EBIT</t>
  </si>
  <si>
    <t>Other Income (Expenses)</t>
  </si>
  <si>
    <t>Earnings before Tax</t>
  </si>
  <si>
    <t>Taxes</t>
  </si>
  <si>
    <t>Net Earnings</t>
  </si>
  <si>
    <r>
      <rPr>
        <b/>
        <sz val="12"/>
        <color theme="1"/>
        <rFont val="Calibri"/>
        <family val="2"/>
      </rPr>
      <t>₹</t>
    </r>
    <r>
      <rPr>
        <b/>
        <sz val="12"/>
        <color theme="1"/>
        <rFont val="Book Antiqua"/>
        <family val="1"/>
      </rPr>
      <t xml:space="preserve"> In lakh</t>
    </r>
  </si>
  <si>
    <r>
      <rPr>
        <sz val="12"/>
        <color theme="1"/>
        <rFont val="Calibri"/>
        <family val="2"/>
      </rPr>
      <t>₹</t>
    </r>
    <r>
      <rPr>
        <sz val="12"/>
        <color theme="1"/>
        <rFont val="Book Antiqua"/>
        <family val="1"/>
      </rPr>
      <t xml:space="preserve"> In lakh</t>
    </r>
  </si>
  <si>
    <t>Balance Sheet</t>
  </si>
  <si>
    <t>Assets</t>
  </si>
  <si>
    <t>Current Assets:</t>
  </si>
  <si>
    <t>Cash</t>
  </si>
  <si>
    <t>Bank Deposits</t>
  </si>
  <si>
    <t>Other current Assests</t>
  </si>
  <si>
    <t>Non-Current Assests:</t>
  </si>
  <si>
    <t>Property &amp; Equipment</t>
  </si>
  <si>
    <t>Goodwill</t>
  </si>
  <si>
    <t>Financial Assests</t>
  </si>
  <si>
    <t>Other Non-Current Assests</t>
  </si>
  <si>
    <t>Total Assests</t>
  </si>
  <si>
    <t>Liabilities</t>
  </si>
  <si>
    <t>Current Liabilities:</t>
  </si>
  <si>
    <t>Other Current Liability</t>
  </si>
  <si>
    <t>Non-Current Liabilities</t>
  </si>
  <si>
    <t>Debt</t>
  </si>
  <si>
    <t>Other Non-Current Liability</t>
  </si>
  <si>
    <t>Shareholder's Equity</t>
  </si>
  <si>
    <t>Equity Capital</t>
  </si>
  <si>
    <t>Retained Earnings</t>
  </si>
  <si>
    <t>Total Shareholder's Equity</t>
  </si>
  <si>
    <t>Non-Controlling Interest</t>
  </si>
  <si>
    <t>Total Liabilities &amp; Shareholder's Equity</t>
  </si>
  <si>
    <t>Check</t>
  </si>
  <si>
    <t>CashFLow Statement</t>
  </si>
  <si>
    <t>Operating cashflow</t>
  </si>
  <si>
    <t>Plus:Depriciation &amp; Amortization</t>
  </si>
  <si>
    <t>Plus/Less:Adjustment for Non Operating Items</t>
  </si>
  <si>
    <t>Plus/Less:Adjustment for Operating Assets &amp; Liabilities (WC)</t>
  </si>
  <si>
    <t>Cash From Operations</t>
  </si>
  <si>
    <t>Investing Cashflows</t>
  </si>
  <si>
    <t>Investment in Property &amp; Eqiupment</t>
  </si>
  <si>
    <t>Sale of property, plant &amp; equipment</t>
  </si>
  <si>
    <t>Net proceeds from sale of investment</t>
  </si>
  <si>
    <t>Dividend received</t>
  </si>
  <si>
    <t>Rent received</t>
  </si>
  <si>
    <t>Cash from investing</t>
  </si>
  <si>
    <t>Financing cashflow</t>
  </si>
  <si>
    <t>Issuance(repayment) of debt</t>
  </si>
  <si>
    <t>Issuance(repayment) of preferance share(NCI)</t>
  </si>
  <si>
    <t>Dividends paid</t>
  </si>
  <si>
    <t>Cash from financing</t>
  </si>
  <si>
    <t>Net Increase/Decrease in Cash</t>
  </si>
  <si>
    <t>Opening cash balance</t>
  </si>
  <si>
    <t>Closing cash balance</t>
  </si>
  <si>
    <t>Supporting Schedules</t>
  </si>
  <si>
    <t>Working Capital</t>
  </si>
  <si>
    <t>Others</t>
  </si>
  <si>
    <t>Total</t>
  </si>
  <si>
    <t>Depriciation Schedule</t>
  </si>
  <si>
    <t>PPE Opening</t>
  </si>
  <si>
    <t>Plus Capex</t>
  </si>
  <si>
    <t>Less Depriciation</t>
  </si>
  <si>
    <t>PPE Closing</t>
  </si>
  <si>
    <t>Debt &amp; Interest Schedule</t>
  </si>
  <si>
    <t>Debt opening</t>
  </si>
  <si>
    <t>Issuance(Repayment)</t>
  </si>
  <si>
    <t>Debt Closing</t>
  </si>
  <si>
    <t>Interest Expense</t>
  </si>
  <si>
    <t>DCF Model</t>
  </si>
  <si>
    <t>Assumptions</t>
  </si>
  <si>
    <t>Transaction Date</t>
  </si>
  <si>
    <t>Fiscal Year End</t>
  </si>
  <si>
    <t>Tax Rate</t>
  </si>
  <si>
    <t>EV/EBITDA multiple</t>
  </si>
  <si>
    <t xml:space="preserve">Perpetual growth rate </t>
  </si>
  <si>
    <t>Discount Rate</t>
  </si>
  <si>
    <t>Shares Outstanding</t>
  </si>
  <si>
    <t>Current Price</t>
  </si>
  <si>
    <t>Discounted Cash Flow</t>
  </si>
  <si>
    <t>Exit</t>
  </si>
  <si>
    <t>Terminal value</t>
  </si>
  <si>
    <t>Date</t>
  </si>
  <si>
    <t>EV/EBITDA</t>
  </si>
  <si>
    <t>Perpetual Growth</t>
  </si>
  <si>
    <t>Yearfrac</t>
  </si>
  <si>
    <t>Average</t>
  </si>
  <si>
    <t>Less: Cash Taxes</t>
  </si>
  <si>
    <t>NOPAT</t>
  </si>
  <si>
    <t>Plus: Depriciation &amp; Amortization</t>
  </si>
  <si>
    <t>Less: Capex</t>
  </si>
  <si>
    <t>Less: Changes in NWC</t>
  </si>
  <si>
    <t>Unlevered FCFF</t>
  </si>
  <si>
    <t>Transaction FCFF</t>
  </si>
  <si>
    <t>Intrinsic Value</t>
  </si>
  <si>
    <t>Market Value</t>
  </si>
  <si>
    <t>Rate of Return</t>
  </si>
  <si>
    <t>Enterprise Value</t>
  </si>
  <si>
    <t>Market Cap</t>
  </si>
  <si>
    <t>Plus: Cash &amp; Cash Equivalents</t>
  </si>
  <si>
    <t>Plus: Debt</t>
  </si>
  <si>
    <t>Target Price</t>
  </si>
  <si>
    <t>Less: Debt</t>
  </si>
  <si>
    <t>Plus: Non Controlling Interest</t>
  </si>
  <si>
    <t>TP Upside</t>
  </si>
  <si>
    <t>Less: Non Controlling Interest</t>
  </si>
  <si>
    <t>Less: Cash Equivalents</t>
  </si>
  <si>
    <t>Equity Value</t>
  </si>
  <si>
    <t>Equity Value/Share</t>
  </si>
  <si>
    <t>Senstivity Analysis</t>
  </si>
  <si>
    <t>Changes in inventories of finished goods, work-in-progress and stock-in-trade</t>
  </si>
  <si>
    <t>Total Non-Current Assests</t>
  </si>
  <si>
    <t>Loss / (income) on lease modification</t>
  </si>
  <si>
    <t>Scenarios</t>
  </si>
  <si>
    <t>Base Case</t>
  </si>
  <si>
    <t>Bull Case</t>
  </si>
  <si>
    <t>Growth(%)</t>
  </si>
  <si>
    <t>Q-o-q growth(%)</t>
  </si>
  <si>
    <t>31-03-2026E</t>
  </si>
  <si>
    <t>2026E</t>
  </si>
  <si>
    <t>Comps</t>
  </si>
  <si>
    <t>Market Data</t>
  </si>
  <si>
    <t>Financial Data</t>
  </si>
  <si>
    <t>Valuation</t>
  </si>
  <si>
    <t>Price</t>
  </si>
  <si>
    <t>Shares</t>
  </si>
  <si>
    <t>EV</t>
  </si>
  <si>
    <t>Earnings</t>
  </si>
  <si>
    <t>EV/Sales</t>
  </si>
  <si>
    <t>P/E</t>
  </si>
  <si>
    <t>Company name</t>
  </si>
  <si>
    <r>
      <rPr>
        <i/>
        <sz val="12"/>
        <color theme="0"/>
        <rFont val="Calibri"/>
        <family val="2"/>
      </rPr>
      <t>(₹</t>
    </r>
    <r>
      <rPr>
        <i/>
        <sz val="12"/>
        <color theme="0"/>
        <rFont val="Book Antiqua"/>
        <family val="1"/>
      </rPr>
      <t>/share)</t>
    </r>
  </si>
  <si>
    <t>M</t>
  </si>
  <si>
    <t>&amp; equivalents</t>
  </si>
  <si>
    <t>x</t>
  </si>
  <si>
    <r>
      <rPr>
        <i/>
        <sz val="12"/>
        <color theme="0"/>
        <rFont val="Calibri"/>
        <family val="2"/>
      </rPr>
      <t>(₹ in lakh</t>
    </r>
    <r>
      <rPr>
        <i/>
        <sz val="12"/>
        <color theme="0"/>
        <rFont val="Book Antiqua"/>
        <family val="1"/>
      </rPr>
      <t>)</t>
    </r>
  </si>
  <si>
    <t>Thangamayil Jewellery Limited</t>
  </si>
  <si>
    <t>THANGAMAYL</t>
  </si>
  <si>
    <t>Tribhovandas Bhimji Zaveri Limited</t>
  </si>
  <si>
    <t>TBZ</t>
  </si>
  <si>
    <t>Kalyan Jewellers India Limited</t>
  </si>
  <si>
    <t>KALYANKJIL</t>
  </si>
  <si>
    <t>Senco Gold Limited</t>
  </si>
  <si>
    <t>SENCO</t>
  </si>
  <si>
    <t>Company</t>
  </si>
  <si>
    <t>Ticker</t>
  </si>
  <si>
    <t>Stock Price</t>
  </si>
  <si>
    <t>Weighted Avg. Shares Outstanding Dil</t>
  </si>
  <si>
    <t>Total Debt</t>
  </si>
  <si>
    <t>Cash And Equivalents</t>
  </si>
  <si>
    <t>Revenues</t>
  </si>
  <si>
    <t>Net Income (Income Statement)</t>
  </si>
  <si>
    <t>Effective Tax Rate</t>
  </si>
  <si>
    <t>Median</t>
  </si>
  <si>
    <t>Metric</t>
  </si>
  <si>
    <t>Net Debt</t>
  </si>
  <si>
    <t>Per Share</t>
  </si>
  <si>
    <t>EV/Revenue</t>
  </si>
  <si>
    <t>PNGJL</t>
  </si>
  <si>
    <t>Index</t>
  </si>
  <si>
    <t>Close Price</t>
  </si>
  <si>
    <t>Nifty 50 TRI</t>
  </si>
  <si>
    <t>RRI, Market Return(CAGR)</t>
  </si>
  <si>
    <t>Weighted Average Cost of Capital (WACC)</t>
  </si>
  <si>
    <t>Comparable companies Beta</t>
  </si>
  <si>
    <t>Debt/</t>
  </si>
  <si>
    <t xml:space="preserve">Levered </t>
  </si>
  <si>
    <t>Unlevered</t>
  </si>
  <si>
    <t>Name</t>
  </si>
  <si>
    <t>Value</t>
  </si>
  <si>
    <t>Capital</t>
  </si>
  <si>
    <t>Rate</t>
  </si>
  <si>
    <t>Beta</t>
  </si>
  <si>
    <t>WACC Calculation</t>
  </si>
  <si>
    <t>Target Capital Structure</t>
  </si>
  <si>
    <t>Proportion of Debt</t>
  </si>
  <si>
    <t>Proportion Of Equity</t>
  </si>
  <si>
    <t>Current Capital Structure</t>
  </si>
  <si>
    <t>Debt/Equity</t>
  </si>
  <si>
    <t>Cost of Debt</t>
  </si>
  <si>
    <t>Pre-Tax Cost of Debt</t>
  </si>
  <si>
    <t>After-Tax Cost of Debt</t>
  </si>
  <si>
    <t>Cost of Equity</t>
  </si>
  <si>
    <t>Risk Free Rate</t>
  </si>
  <si>
    <t>Equity Market Return</t>
  </si>
  <si>
    <t>Equity Risk Premium</t>
  </si>
  <si>
    <t>Levered Equity Beta</t>
  </si>
  <si>
    <t>WACC</t>
  </si>
  <si>
    <t>Company Beta</t>
  </si>
  <si>
    <t>% Change</t>
  </si>
  <si>
    <t>Stock</t>
  </si>
  <si>
    <t>Clsoe Price</t>
  </si>
  <si>
    <t>Monthly</t>
  </si>
  <si>
    <t>Min</t>
  </si>
  <si>
    <t>Max</t>
  </si>
  <si>
    <t xml:space="preserve">Beta </t>
  </si>
  <si>
    <t>Senstivities-Intrinsic Value (Rs/Share)</t>
  </si>
  <si>
    <t>Exit Multiples</t>
  </si>
  <si>
    <t>Perpetual Growth Rate</t>
  </si>
  <si>
    <t>Valuation Summary- Football Field</t>
  </si>
  <si>
    <t>Football Field Data</t>
  </si>
  <si>
    <t>High</t>
  </si>
  <si>
    <t>Low</t>
  </si>
  <si>
    <t>52-Week</t>
  </si>
  <si>
    <t>Market</t>
  </si>
  <si>
    <t>DCF</t>
  </si>
  <si>
    <t xml:space="preserve"> hi/lo</t>
  </si>
  <si>
    <t>Consenses</t>
  </si>
  <si>
    <t>Valuation Summary</t>
  </si>
  <si>
    <t>P N Gadgil</t>
  </si>
  <si>
    <t>INR in Lakh</t>
  </si>
  <si>
    <t xml:space="preserve">Ratios </t>
  </si>
  <si>
    <t>Entry</t>
  </si>
  <si>
    <t>Company Description</t>
  </si>
  <si>
    <t>ISIN Code</t>
  </si>
  <si>
    <t>Sector Name</t>
  </si>
  <si>
    <t>Industry</t>
  </si>
  <si>
    <t>Exchange Name</t>
  </si>
  <si>
    <t>Website</t>
  </si>
  <si>
    <t>Current Market Price</t>
  </si>
  <si>
    <t>INE085J01014</t>
  </si>
  <si>
    <t>Gems, Jewellery and Watches</t>
  </si>
  <si>
    <t>BSE: 533158, NSE: THANGAMAYL</t>
  </si>
  <si>
    <t>Thangamayil Jewellery Limited (TMJL) is a leading jewellery retailer in South India, positioning itself as a "one-stop shop" for gold, diamond, and silver ornaments. The company serves customers through both physical showrooms and its online platform, offering over 7,000 unique designs. Their product mix ranges from traditional wedding jewellery to bespoke, high-margin diamond and platinum collections. A key differentiator is their early adoption of 100% BIS 916 Hallmarked gold and the use of scientific, tamper-proof quality testing machinery, which pioneered a "quality revolution" in their home market of Madurai.</t>
  </si>
  <si>
    <t>www.thangamayil.com</t>
  </si>
  <si>
    <t>Model</t>
  </si>
  <si>
    <t>Particulars</t>
  </si>
  <si>
    <t>Ratio Analysis</t>
  </si>
  <si>
    <t>INR Lakhs</t>
  </si>
  <si>
    <t>Audited</t>
  </si>
  <si>
    <t>Estimated</t>
  </si>
  <si>
    <t>Projected</t>
  </si>
  <si>
    <t>Trend</t>
  </si>
  <si>
    <t>Profitability Ratios</t>
  </si>
  <si>
    <t>Gross Margin</t>
  </si>
  <si>
    <t>EBITDA Margin</t>
  </si>
  <si>
    <t>Operating Margin</t>
  </si>
  <si>
    <t>Pretax Margin</t>
  </si>
  <si>
    <t>Effective Tax rate</t>
  </si>
  <si>
    <t>Net Margin</t>
  </si>
  <si>
    <t>DuPont/Earning Power</t>
  </si>
  <si>
    <t>Asset Turnover</t>
  </si>
  <si>
    <t>Pre tax ROA</t>
  </si>
  <si>
    <t>Pre Tax ROE</t>
  </si>
  <si>
    <t>Tax Complement</t>
  </si>
  <si>
    <t>ROE</t>
  </si>
  <si>
    <t>Equity Retention</t>
  </si>
  <si>
    <t>Reinvestment Rate</t>
  </si>
  <si>
    <t>Liquidity Ratio</t>
  </si>
  <si>
    <t>Quick ratio</t>
  </si>
  <si>
    <t>Current ratio</t>
  </si>
  <si>
    <t>Cash Cycle (Days)</t>
  </si>
  <si>
    <t>Leverage</t>
  </si>
  <si>
    <t>Asset/Equity</t>
  </si>
  <si>
    <t>% LT Debt to Total Capital</t>
  </si>
  <si>
    <t>Operating</t>
  </si>
  <si>
    <t>A/R Turnover</t>
  </si>
  <si>
    <t>Avg. A/R Days</t>
  </si>
  <si>
    <t>Inventory Turnover</t>
  </si>
  <si>
    <t>Avg. Inventory Days</t>
  </si>
  <si>
    <t>A/P Turnover</t>
  </si>
  <si>
    <t>Avg. A/P Days</t>
  </si>
  <si>
    <t>Fixed Asset Turnover</t>
  </si>
  <si>
    <t>WC / Sales Growth</t>
  </si>
  <si>
    <t>ROIC</t>
  </si>
  <si>
    <t>Interpretation of ratios</t>
  </si>
  <si>
    <t>The Gross margin in the audited years is around 9.6% on an average and in the forecasted period the gross margin of 9.6% is almost equal to the audited years average margin rate. By this, we can interpret that Thangamayil Jewellery Limited is performing consistently in managing its production costs and Purchases related expenses. This indicates that TMJL has consistent growth potential in its business.</t>
  </si>
  <si>
    <t>The forecasted EBITDA margin is 5.4% for all the forecasted years which is almost equal to the average of audited years of 5.4% as we have followed latest analysis method due to which the forecasted period thoughout will have same EBITDA margin rate. The consistent EBITDA margin signals that Thangamayil Jewellery Limited is performing as efficiently as the initial audited years. We can assume that TMJL follows the cost controlling techniques of the historical average consistently all along the future years.</t>
  </si>
  <si>
    <t>There is a decrease in Operating margin rate in FY22 than FY21 by 4.1% and there onwards it fluctuates to 4.0% for remaining audited years. The Operating margin in the projected years is also increasing from 5.1% to 5.14% at a lower rate. Even though the EBITDA margin remains unchanged, Operating margin is increasing which is due to the effect of Depreciation &amp; Amortisation. Because Capex is forecasted to increase slightly less than the Revenue growth rate.</t>
  </si>
  <si>
    <t>The year 2022 has faced market volatility due to which pre-tax margin has dropped by 4.0% from 6.4% and keeps on increasing from 2026 till the end of forecast period to 4.8%. Even though we have used latest analysis method for projections, there is an increase which is due to depreciation &amp; amortisation, Finance costs which are projected as % on Fixed assets and borrowings, which are growing at lower rate than the revenue.</t>
  </si>
  <si>
    <t>The effective tax rate for Thangamayil Jewellery Limited is assumed to be increased at 0.5% once for every two years, starting from its historical audited average of approximately 25.8%.</t>
  </si>
  <si>
    <t>As similar to pre-tax margin rate, Net margin has also faced drop by 3.0% in 2022 as a market volatility effect. But when we go through the forecasted period the net profit rate is increased form 4.1% to 4.5% only which is lower than the pre-tax margin growth. This slow growth rate is due to the effect of increase in tax rate by 0.5% once for every 2 years.</t>
  </si>
  <si>
    <t>In the audited period (2021–2025), the asset turnover ratio of Thangamayil Jewellery Limited shows a declining trend from 216.50% to 182.45%, despite a temporary rise in 2023.
In the forecast period, the ratio initially increases across all scenarios in 2026–2030, indicating stronger revenue growth relative to assets. In the bull case, it peaks around 294% in 2030 and remains the highest, showing the most efficient asset utilization. In the base case, it rises to around 280% and then gradually declines to ~231% by 2035. In the bear case, it increases initially but declines steadily to ~213% by 2035.
The decline in the later years indicates that asset growth begins to outpace revenue growth, reducing asset utilization efficiency, while the bull case maintains relatively stronger efficiency compared to base and bear scenarios.</t>
  </si>
  <si>
    <t>In the audited period (2022–2025), the Pre-tax ROA of Thangamayil Jewellery Limited shows a fluctuating trend, declining sharply from 13.92% in 2022 to 4.84% in 2023, and then improving to 8.17% by 2025.
In the base case, the ratio recovers to around 11–13% during 2027–2030, peaking at 13.17%, and then gradually declines to about 11.21% by 2035, indicating moderate improvement in profitability before stabilizing.
In the bull case, the ratio improves more strongly, reaching about 14.00% in 2030, and remains relatively higher at around 12.13% by 2035, reflecting better profitability and more efficient utilization of assets.
In the bear case, although the ratio recovers initially to around 11.5%, it gradually declines to nearly 10.06% by 2035, indicating weaker profitability due to slower earnings growth relative to asset expansion.</t>
  </si>
  <si>
    <t>Pre-tax Return on Equity was decreased from 37.60% to 14.59% by the end of audited years, thereafter it became decreasing year on year and dropped to 14.37% by the year 2035 end of forecast period. The decrease is due to a lower growth rate of pre-tax profit than that of shareholder's equity. Even though it is in a decreasing trend, the pre-tax ROE in 2035 of 14.37% reflects a stabilized return on a significantly larger accumulated equity base compared to the initial audited years.</t>
  </si>
  <si>
    <t>Similar to the pre-tax Return on Equity, Return on Equity has also decreased from 27.83% to 10.81% by the end of the audited years and is in a decreasing trend in the forecasted years, dropping to 13.26% by the year 2035 end of the forecast period. The reason is the same as of pre-tax ROE. But in this case, the additional downward change is due to the assumed increase in the tax rate by 0.5% once for every 2 years.</t>
  </si>
  <si>
    <t>The Equity Retention ratio has been increasing from 2022 to 2025 (from 1.32 to 1.14) and remains constant around 1.18 throughout the forecasted period till 2035. The increase in retention ratio is due to constant dividend payout which is not growing parallel with revenue. The high equity retention ratio can be assumed as Thangamayil Jewellery Limited has been retaining more profits and distributing less profits to its shareholders which can be assumed that company might have thought of business expansion.</t>
  </si>
  <si>
    <t>The Reinvestment Rate has been fluctuating in the audited years from 30.48% to 17.86% and went on fluctuating to 15.64% by the year 2035 end of the projected years. This indicates that Shareholders will be getting inconsistent returns year on year on reinvesting in the company. The reason behind this might be the decreasing return on equity in the forecasted period. Even though the rate is inconsistent, 15.64%% can be considered as a reasonable reinvestment rate.</t>
  </si>
  <si>
    <t>For Thangamayil Jewellery Limited, the quick ratio during the audited period (2021–2025) shows an overall improving but volatile trend, increasing from 0.17 in 2021 to 0.52 in 2025, although it fluctuates in between. Despite the improvement, the ratio remains below 1, indicating that the company’s liquid assets are insufficient to fully cover short-term liabilities.
In the forecast period, the ratio turns negative between 2026 and 2031, reaching around -0.61 in 2029, which suggests significant pressure on short-term liquidity and heavy reliance on inventory turnover or external financing to meet current obligations.
However, from 2032 onwards, the ratio gradually improves and rises above 1 by 2035 (1.50), indicating that the company is expected to strengthen its liquidity position and improve its ability to meet short-term liabilities using quick assets. Overall, the projections indicate short-term liquidity stress in the mid-forecast period followed by gradual improvement in the later years.</t>
  </si>
  <si>
    <t>For Thangamayil Jewellery Limited, the current ratio during the audited period (2021–2025) remains strong but fluctuating, moving from 3.47 in 2021 to 3.52 in 2025, with a peak of 4.96 in 2022 and a dip to 2.86 in 2024. The ratio consistently remains well above 1, indicating that the company maintains sufficient current assets to meet its short-term liabilities.
In the forecast period (2026–2035), the ratio shows a steady increasing trend from 3.82 to 9.46. This suggests a significant buildup of current assets relative to current liabilities, indicating a strong liquidity position.
However, such a very high current ratio may also indicate inefficient utilization of working capital, as excess current assets may remain idle instead of being deployed effectively to generate higher returns</t>
  </si>
  <si>
    <t>For Thangamayil Jewellery Limited, the cash conversion cycle during the audited period (2021–2025) shows an initial improvement followed by deterioration. The cycle declined from 144.74 days in 2021 to around 123.47 days in 2023, indicating improved efficiency in managing inventory, receivables, and payables. However, it increased significantly to 159.21 days in 2025, suggesting slower cash realization and higher working capital requirements.
In the forecast period (2026–2035), the cash cycle is expected to stabilize at around 137.46 days, indicating relatively stable working capital management. However, a cycle of over 130 days still reflects a long operating cycle, which is typical in the jewellery retail industry due to high inventory holding periods.</t>
  </si>
  <si>
    <t>For Thangamayil Jewellery Limited, the Asset/Equity ratio during the audited period (2021–2025) shows a rising trend initially from 2.60 in 2021 to 3.21 in 2023, indicating higher financial leverage. However, the ratio declines to 2.32 by 2025, suggesting a reduction in reliance on debt financing.
In the forecast period (2026–2035), the ratio steadily declines from 2.08 to 1.27, indicating that the company is expected to reduce leverage and rely more on equity financing. This gradual decline reflects improving financial stability and lower financial risk, as a smaller proportion of assets is funded through liabilities.</t>
  </si>
  <si>
    <t>For Thangamayil Jewellery Limited, the Debt/Equity ratio during the audited period (2021–2025) initially increases from 0.94 in 2021 to 1.47 in 2023, indicating a higher reliance on debt financing. However, the ratio declines to 0.72 by 2025, suggesting that the company has started reducing its dependence on debt.
In the forecast period (2026–2035), the ratio continues to decline steadily from 0.59 to 0.14, indicating a progressive reduction in financial leverage. This trend suggests that the company is expected to rely more on equity and internal accruals for funding, thereby reducing financial risk and improving long-term financial stability.</t>
  </si>
  <si>
    <t>For Thangamayil Jewellery Limited, the % Long-Term Debt to Total Capital during the audited period (2021–2025) initially increases from 48.48% in 2021 to 59.49% in 2023, indicating a higher reliance on long-term debt in the capital structure. However, the ratio declines to 41.97% by 2025, suggesting a gradual reduction in long-term leverage.
In the forecast period (2026–2035), the ratio steadily declines from 36.99% to 12.30%, indicating that the company is expected to significantly reduce its dependence on long-term debt financing. This trend reflects a shift towards equity and internal funding, which may improve financial stability and lower long-term financial risk.</t>
  </si>
  <si>
    <t>For Thangamayil Jewellery Limited, the Accounts Receivable (A/R) Turnover during the audited period (2022–2025) shows a fluctuating trend, increasing from 698.89 in 2022 to 848.60 in 2024, indicating faster collection of receivables. However, the ratio declines to 595.14 in 2025, suggesting relatively slower receivable collections in that year.
In the forecast period (2026–2035), the ratio initially declines to 529.22 in 2026 but gradually increases to 755.80 by 2035. This improvement indicates that the company is expected to enhance its receivables management and collection efficiency over time, resulting in faster conversion of credit sales into cash. Overall, the higher turnover ratio reflects efficient credit management and quicker cash realization from customers.</t>
  </si>
  <si>
    <t>For Thangamayil Jewellery Limited, the Average Accounts Receivable Days during the audited period (2021–2025) shows a generally low and stable trend, declining from 0.52 days in 2021 to 0.37 days in 2023, indicating very fast collection of receivables. However, it increases slightly to 0.64 days in 2025, suggesting marginally slower collection compared to earlier years.
In the forecast period (2026–2035), the ratio stabilizes at around 0.47 days, indicating consistent receivables collection efficiency. Overall, the extremely low collection period suggests that the company collects payments almost immediately, reflecting strong cash-based sales and efficient receivables management.</t>
  </si>
  <si>
    <t>For Thangamayil Jewellery Limited, the Inventory Turnover during the audited period (2022–2025) remains relatively stable with slight fluctuations, moving from 2.30 in 2022 to 2.63 in 2024, before declining to 2.19 in 2025. This indicates moderate efficiency in converting inventory into sales, although the decline in 2025 suggests relatively slower inventory movement.
In the forecast period (2026–2035), the ratio initially decreases to 1.94 in 2026 but gradually improves to around 2.57 by 2035. This upward trend indicates improving inventory management and faster inventory turnover over time, suggesting that the company is expected to utilize its inventory more efficiently to generate sales.</t>
  </si>
  <si>
    <t>For Thangamayil Jewellery Limited, the Average Inventory Days during the audited period (2021–2025) initially declines from 147.05 days in 2021 to 124.95 days in 2024, indicating improved efficiency in inventory management. However, the ratio increases significantly to 161.19 days in 2025, suggesting slower inventory movement and higher holding periods.
In the forecast period (2026–2035), the ratio stabilizes at around 139.19 days, indicating consistent inventory holding levels. Although relatively high, such inventory days are common in the jewellery retail industry due to large inventory requirements and product variety, reflecting the nature of the business rather than inefficiency.</t>
  </si>
  <si>
    <t>For Thangamayil Jewellery Limited, the Accounts Payable (A/P) Turnover during the audited period (2022–2025) shows a declining trend, decreasing from 159.16 in 2022 to 137.36 in 2025. This indicates that the company is taking relatively longer time to pay its suppliers compared to earlier years.
In the forecast period (2026–2035), the ratio initially declines to 119.29 in 2026 but gradually increases to around 161.89 by 2035. The improvement in later years indicates that the company is expected to pay its suppliers more frequently, reflecting stronger liquidity and improved payment management. Overall, the increasing trend suggests better efficiency in managing payables and maintaining supplier relationships.</t>
  </si>
  <si>
    <t>For Thangamayil Jewellery Limited, the Average Accounts Payable Days during the audited period (2021–2025) shows a fluctuating trend, decreasing from 2.83 days in 2021 to 1.33 days in 2022, then rising to 2.63 days in 2025. This indicates variability in the time the company takes to settle its obligations with suppliers.
In the forecast period (2026–2035), the ratio stabilizes at around 2.21 days, indicating consistent payment practices toward suppliers. Overall, the relatively low payable days suggest that the company settles its supplier obligations quickly, which may support strong supplier relationships but also indicates limited reliance on supplier credit for working capital management.</t>
  </si>
  <si>
    <t>For Thangamayil Jewellery Limited, the Fixed Asset Turnover during the audited period (2022–2025) remains relatively stable, fluctuating between 20.59 and 22.71, indicating consistent efficiency in generating revenue from its fixed asset base.
In the forecast period (2026–2035), the ratio increases significantly from 21.81 in 2026 to 41.33 by 2035. This upward trend indicates that the company is expected to generate higher revenue relative to its fixed assets, reflecting improved utilization and efficiency of fixed assets over time. The rising ratio suggests that revenue growth is projected to outpace the growth in fixed assets, leading to stronger operational efficiency.</t>
  </si>
  <si>
    <t>For Thangamayil Jewellery Limited, the Working Capital to Sales Growth during the audited period (2023–2025) shows a fluctuating trend, moving from 2.42% in 2023 to -6.76% in 2024, and then increasing to 6.26% in 2025. This indicates variability in the relationship between working capital requirements and sales growth.
In the forecast period (2026–2035), the ratio initially declines to -9.65% in 2027, suggesting that sales growth is expected to outpace the growth in working capital during that period. However, the ratio gradually improves and turns positive from 2029 onwards, reaching around 2.22% by 2035, indicating that working capital requirements are expected to grow in line with sales over the long term.
Overall, the trend suggests short-term volatility in working capital efficiency followed by stabilization as the company’s sales and working capital growth become more aligned over time.</t>
  </si>
  <si>
    <t>For Thangamayil Jewellery Limited, the Return on Invested Capital (ROIC) during the audited period (2021–2025) shows a fluctuating trend, declining from 14.97% in 2021 to 5.18% in 2022, then recovering to 12.02% in 2024, before dropping again to 6.25% in 2025. This volatility indicates inconsistent efficiency in generating returns from invested capital.
In the forecast period (2026–2035), the ratio improves initially, peaking at around 15.74% in 2028, indicating stronger returns generated from invested capital. However, the ratio gradually declines to about 11.48% by 2035, suggesting that while the company continues to generate healthy returns, the efficiency of capital utilization is expected to moderate over the long term.</t>
  </si>
  <si>
    <t>CONSUMER DURABLES</t>
  </si>
  <si>
    <t>Scenario</t>
  </si>
  <si>
    <t>The stock is priced for perpetual hyper-growth and offers zero margin of safety. The model assumes structurally capped margins and escalating CapEx/Depreciation to fund South Indian store expansions. Any top-line normalization will trigger violent multiple compression.</t>
  </si>
  <si>
    <t>Base Case (Implied Value: ~INR 800 - 1,000 | Downside: ~75%)
Assumption: Revenue growth fades from 20% to a 4% terminal rate; margins remain flat.
Impact: Severe de-rating. As growth cools to industry averages, the market will aggressively compress the 55x multiple to match peers, driving a sharp correction toward intrinsic value.</t>
  </si>
  <si>
    <t>Bull Case (Implied Value: Mild Premium to Base | Downside: Significant)
Assumption: Flawless execution with peak 25% near-term growth and an elevated 4.5% terminal rate.
Impact: Even under mathematically perfect conditions, the DCF cannot bridge the gap to the current market price. The stock is already priced beyond perfection.</t>
  </si>
  <si>
    <t>Bear Case (Implied Value: Sub-INR 700 | Downside: Catastrophic)
Assumption: Growth stunts early (12%) due to macro headwinds or competitor cannibalization.
Impact: Slower revenue fails to absorb the heavy fixed CapEx of the new store rollout. The fixed-cost drag crushes already-thin margins, prompting a brutal sell-off.</t>
  </si>
  <si>
    <t>Base Case Revenue Growth (FY26: 20% → FY30: 9% → Terminal: 4%)
Near-term growth is strictly anchored to management's FY25 official guidance to "nearly double the top line in the next four years," which mathematically requires an ~18.9% CAGR. The model projects an initial 20.0% growth rate to capture the immediate upside of the new Chennai flagship operations. However, to ensure macroeconomic realism, this hyper-growth phase is modeled to taper down smoothly over the forecast period, converging precisely with the 9.0% industry average by FY30 (as projected by the IBEF 2030 Gems &amp; Jewellery market forecast). Terminal growth ultimately settles at 4.0%, in line with long-term RBI inflation targets.</t>
  </si>
  <si>
    <t>The company has a low leverage profile with ~28.1% debt and 71.9% equity, indicating a conservative capital structure.
The cost of debt is relatively low at ~5.8% (post-tax), reflecting manageable borrowing costs, while the cost of equity stands at ~10.8%, driven by moderate market risk assumptions. 
The levered beta (~0.45–0.49) is significantly lower than peers, suggesting lower perceived volatility and risk.
Overall, the WACC of ~9.4% is reasonable and on the lower side, implying a lower discount rate and higher valuation sensitivity in the DCF.
The company’s low beta and conservative leverage reduce its overall cost of capital, supporting higher valuations, but this also means that any change in growth or risk assumptions will have a significant impact on valuation outcomes.</t>
  </si>
  <si>
    <t>Bull Case Revenue Growth (FY26: 25% → FY30: 11% → Terminal: 4.5%)
Near-term growth assumes the company successfully sustains its historical outperformance, anchored strictly to the 25.0% 5-year retail revenue CAGR reported in the FY25 Annual Report. This models flawless execution of the Tier-1 Chennai flagship rollout and aggressive customer acquisition via the high-yielding "Digi Gold" scheme (which management notes drives up to 185% redemption values). Over the medium term, growth tapers but structurally bottoms out at 11.0% by FY30—commanding a consistent +200 bps premium over the 9.0% IBEF industry average. This trajectory reflects sustained, aggressive market share capture from the unorganized sector. Terminal growth is modeled at a slightly elevated 4.5% to reflect a permanently strengthened market position.</t>
  </si>
  <si>
    <t>Bear Case Revenue Growth (FY26: 12% → FY30: 7% → Terminal: 4.0%)
Near-term growth models a severe structural deceleration, completely bypassing management's optimistic targets and dropping immediately to 12.0% (the baseline near-term growth projection for the broader Indian retail jewellery segment). This assumes an immediate consumer demand shock, highly volatile gold pricing, or a failure of the newly funded store expansions to gain regional traction. By FY30, growth further deteriorates to 7.0%, representing a strict -200 bps discount to the 9.0% IBEF industry average. This trajectory mathematically prices in heavy market share cannibalization from larger national competitors (e.g., Kalyan, Tanishq) and an inability to generate sufficient top-line velocity to absorb the fixed CapEx load. Terminal growth settles at the standard 4.0% inflation proxy.</t>
  </si>
  <si>
    <t>The company is trading at a significant premium to peers, with EV/Sales (1.9x vs ~1.0x), EV/EBITDA (34.7x vs ~16.0x), and P/E (55.1x vs ~20.7x). This clearly indicates market expectations of superior growth and profitability.
However, the implied valuation from comps suggests a fair value range of ~₹1,310–₹1,569 per share, which is substantially lower than the current market price of ₹3,497, indicating potential overvaluation.
The premium valuation is likely driven by strong growth visibility, regional dominance, and improving operational efficiency, but the extent of the premium appears stretched relative to peers.
Unless the company significantly outperforms peer growth and margins, the current valuation may not be sustainable, implying downside risk based on relative valuation.</t>
  </si>
  <si>
    <t>The Comps-based valuation range (₹1,310–₹1,569) and DCF valuation range (₹773–₹975) are both significantly below the current market price (~₹3,497), indicating a material overvaluation based on intrinsic and relative methods.
The market consensus range (₹1,200–₹1,600) is broadly aligned with comps, reinforcing a fair value band well below the current trading level.
The 52-week high (~₹3,497) is close to the current price, suggesting the stock is trading near peak levels without fundamental support from valuation models.
The wide gap between market price and valuation outputs indicates that the stock is being priced on aggressive growth expectations rather than current fundamentals.
The stock appears significantly overvalued across all valuation approaches, implying limited upside and meaningful downside risk unless the company delivers exceptionally strong growth beyond current projections.</t>
  </si>
  <si>
    <t>DCF &amp; Comps Analysis</t>
  </si>
  <si>
    <t>Historical</t>
  </si>
  <si>
    <t>Comps_data</t>
  </si>
  <si>
    <t>Market_data</t>
  </si>
  <si>
    <t>Summary</t>
  </si>
</sst>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xmlns:xr="http://schemas.microsoft.com/office/spreadsheetml/2014/revision" mc:Ignorable="x14ac x16r2 xr">
  <numFmts count="20">
    <numFmt numFmtId="43" formatCode="_(* #,##0.00_);_(* \(#,##0.00\);_(* &quot;-&quot;??_);_(@_)"/>
    <numFmt numFmtId="164" formatCode="[$-409]mmm\-yy;@"/>
    <numFmt numFmtId="165" formatCode="_ * #,##0.00_ ;_ * \-#,##0.00_ ;_ * &quot;-&quot;??_ ;_ @_ "/>
    <numFmt numFmtId="166" formatCode="#&quot;A&quot;"/>
    <numFmt numFmtId="167" formatCode="#&quot;E&quot;"/>
    <numFmt numFmtId="168" formatCode=";;;"/>
    <numFmt numFmtId="169" formatCode="0.0%"/>
    <numFmt numFmtId="170" formatCode="0.0&quot;x&quot;"/>
    <numFmt numFmtId="171" formatCode="#,##0;\(#,##0\);&quot;-&quot;"/>
    <numFmt numFmtId="172" formatCode="###,##0"/>
    <numFmt numFmtId="173" formatCode="#,##0;\(#,##0\)"/>
    <numFmt numFmtId="174" formatCode="[$₹-4009]\ #,##0.00"/>
    <numFmt numFmtId="175" formatCode="[$₹-4009]\ #,##0;[Red][$₹-4009]\ \-#,##0"/>
    <numFmt numFmtId="176" formatCode="[$₹-4009]\ #,##0"/>
    <numFmt numFmtId="177" formatCode="m/d/yy;@"/>
    <numFmt numFmtId="178" formatCode="dd/mm/yy"/>
    <numFmt numFmtId="179" formatCode="0.000%"/>
    <numFmt numFmtId="180" formatCode="0.0000&quot;x&quot;"/>
    <numFmt numFmtId="181" formatCode="0.0"/>
    <numFmt numFmtId="182" formatCode="0.0000%"/>
  </numFmts>
  <fonts count="51" x14ac:knownFonts="1">
    <font>
      <sz val="11"/>
      <color theme="1"/>
      <name val="Calibri"/>
      <family val="2"/>
      <scheme val="minor"/>
    </font>
    <font>
      <sz val="11"/>
      <color theme="1"/>
      <name val="Calibri"/>
      <family val="2"/>
      <scheme val="minor"/>
    </font>
    <font>
      <b/>
      <sz val="11"/>
      <color theme="1"/>
      <name val="Calibri"/>
      <family val="2"/>
      <scheme val="minor"/>
    </font>
    <font>
      <sz val="12"/>
      <color theme="1"/>
      <name val="Book Antiqua"/>
      <family val="1"/>
    </font>
    <font>
      <b/>
      <sz val="25"/>
      <color theme="0"/>
      <name val="Book Antiqua"/>
      <family val="1"/>
    </font>
    <font>
      <sz val="11"/>
      <color theme="1"/>
      <name val="Book Antiqua"/>
      <family val="1"/>
    </font>
    <font>
      <b/>
      <sz val="11"/>
      <color theme="0"/>
      <name val="Book Antiqua"/>
      <family val="1"/>
    </font>
    <font>
      <b/>
      <sz val="11"/>
      <color theme="1"/>
      <name val="Book Antiqua"/>
      <family val="1"/>
    </font>
    <font>
      <b/>
      <sz val="12"/>
      <color theme="1"/>
      <name val="Book Antiqua"/>
      <family val="1"/>
    </font>
    <font>
      <b/>
      <sz val="12"/>
      <color theme="0"/>
      <name val="Book Antiqua"/>
      <family val="1"/>
    </font>
    <font>
      <b/>
      <sz val="20"/>
      <color theme="0"/>
      <name val="Book Antiqua"/>
      <family val="1"/>
    </font>
    <font>
      <sz val="12"/>
      <color theme="9" tint="-0.249977111117893"/>
      <name val="Book Antiqua"/>
      <family val="1"/>
    </font>
    <font>
      <sz val="14"/>
      <color theme="9" tint="-0.249977111117893"/>
      <name val="Book Antiqua"/>
      <family val="1"/>
    </font>
    <font>
      <b/>
      <i/>
      <sz val="11"/>
      <color theme="9" tint="-0.249977111117893"/>
      <name val="Book Antiqua"/>
      <family val="1"/>
    </font>
    <font>
      <b/>
      <sz val="12"/>
      <color theme="1"/>
      <name val="Book Antiqua"/>
      <family val="2"/>
    </font>
    <font>
      <b/>
      <sz val="12"/>
      <color theme="1"/>
      <name val="Calibri"/>
      <family val="2"/>
    </font>
    <font>
      <b/>
      <sz val="12"/>
      <color rgb="FF00B050"/>
      <name val="Book Antiqua"/>
      <family val="1"/>
    </font>
    <font>
      <sz val="12"/>
      <color theme="1"/>
      <name val="Book Antiqua"/>
      <family val="2"/>
    </font>
    <font>
      <sz val="12"/>
      <color theme="1"/>
      <name val="Calibri"/>
      <family val="2"/>
    </font>
    <font>
      <sz val="12"/>
      <color rgb="FF00B050"/>
      <name val="Book Antiqua"/>
      <family val="1"/>
    </font>
    <font>
      <i/>
      <sz val="12"/>
      <color theme="1"/>
      <name val="Book Antiqua"/>
      <family val="1"/>
    </font>
    <font>
      <sz val="12"/>
      <color rgb="FF0033CC"/>
      <name val="Book Antiqua"/>
      <family val="1"/>
    </font>
    <font>
      <b/>
      <i/>
      <sz val="12"/>
      <color theme="1"/>
      <name val="Book Antiqua"/>
      <family val="1"/>
    </font>
    <font>
      <sz val="12"/>
      <name val="Book Antiqua"/>
      <family val="1"/>
    </font>
    <font>
      <b/>
      <sz val="12"/>
      <name val="Book Antiqua"/>
      <family val="1"/>
    </font>
    <font>
      <sz val="12"/>
      <color theme="0"/>
      <name val="Book Antiqua"/>
      <family val="1"/>
    </font>
    <font>
      <i/>
      <sz val="12"/>
      <color theme="0"/>
      <name val="Book Antiqua"/>
      <family val="2"/>
    </font>
    <font>
      <i/>
      <sz val="12"/>
      <color theme="0"/>
      <name val="Calibri"/>
      <family val="2"/>
    </font>
    <font>
      <i/>
      <sz val="12"/>
      <color theme="0"/>
      <name val="Book Antiqua"/>
      <family val="1"/>
    </font>
    <font>
      <sz val="11"/>
      <color theme="0"/>
      <name val="Calibri"/>
      <family val="2"/>
      <scheme val="minor"/>
    </font>
    <font>
      <sz val="9"/>
      <color theme="0"/>
      <name val="Book Antiqua"/>
      <family val="1"/>
    </font>
    <font>
      <sz val="11"/>
      <color theme="8" tint="-0.499984740745262"/>
      <name val="Book Antiqua"/>
      <family val="1"/>
    </font>
    <font>
      <b/>
      <sz val="22"/>
      <color theme="0"/>
      <name val="Book Antiqua"/>
      <family val="1"/>
    </font>
    <font>
      <i/>
      <sz val="10"/>
      <color theme="0"/>
      <name val="Book Antiqua"/>
      <family val="1"/>
    </font>
    <font>
      <sz val="11"/>
      <color rgb="FF0033CC"/>
      <name val="Book Antiqua"/>
      <family val="1"/>
    </font>
    <font>
      <b/>
      <sz val="11"/>
      <color rgb="FF0033CC"/>
      <name val="Book Antiqua"/>
      <family val="1"/>
    </font>
    <font>
      <sz val="11"/>
      <color theme="0"/>
      <name val="Book Antiqua"/>
      <family val="1"/>
    </font>
    <font>
      <i/>
      <sz val="11"/>
      <color theme="1"/>
      <name val="Calibri"/>
      <family val="2"/>
      <scheme val="minor"/>
    </font>
    <font>
      <sz val="8"/>
      <name val="Calibri"/>
      <family val="2"/>
      <scheme val="minor"/>
    </font>
    <font>
      <u/>
      <sz val="11"/>
      <color theme="10"/>
      <name val="Calibri"/>
      <family val="2"/>
      <scheme val="minor"/>
    </font>
    <font>
      <u/>
      <sz val="11"/>
      <color theme="10"/>
      <name val="Book Antiqua"/>
      <family val="1"/>
    </font>
    <font>
      <i/>
      <sz val="10"/>
      <color theme="1"/>
      <name val="Book Antiqua"/>
      <family val="1"/>
    </font>
    <font>
      <b/>
      <sz val="14"/>
      <color theme="0"/>
      <name val="Book Antiqua"/>
      <family val="1"/>
    </font>
    <font>
      <u/>
      <sz val="12.65"/>
      <color theme="10"/>
      <name val="Calibri"/>
      <family val="2"/>
    </font>
    <font>
      <u/>
      <sz val="11"/>
      <color theme="0"/>
      <name val="Book Antiqua"/>
      <family val="1"/>
    </font>
    <font>
      <b/>
      <sz val="12"/>
      <color theme="3" tint="-0.499984740745262"/>
      <name val="Book Antiqua"/>
      <family val="1"/>
    </font>
    <font>
      <u/>
      <sz val="11"/>
      <color rgb="FF9AC240"/>
      <name val="Book Antiqua"/>
      <family val="1"/>
    </font>
    <font>
      <sz val="11"/>
      <color rgb="FF9AC240"/>
      <name val="Book Antiqua"/>
      <family val="1"/>
    </font>
    <font>
      <sz val="11"/>
      <color theme="3" tint="-0.499984740745262"/>
      <name val="Book Antiqua"/>
      <family val="1"/>
    </font>
    <font>
      <u/>
      <sz val="10"/>
      <color theme="10"/>
      <name val="Arial"/>
      <family val="2"/>
    </font>
    <font>
      <u/>
      <sz val="10"/>
      <name val="Book Antiqua"/>
      <family val="1"/>
    </font>
  </fonts>
  <fills count="16">
    <fill>
      <patternFill patternType="none"/>
    </fill>
    <fill>
      <patternFill patternType="gray125"/>
    </fill>
    <fill>
      <patternFill patternType="solid">
        <fgColor theme="4" tint="-0.249977111117893"/>
        <bgColor indexed="64"/>
      </patternFill>
    </fill>
    <fill>
      <patternFill patternType="solid">
        <fgColor rgb="FF425382"/>
        <bgColor indexed="64"/>
      </patternFill>
    </fill>
    <fill>
      <patternFill patternType="solid">
        <fgColor theme="2" tint="-0.249977111117893"/>
        <bgColor indexed="64"/>
      </patternFill>
    </fill>
    <fill>
      <patternFill patternType="solid">
        <fgColor theme="0"/>
        <bgColor indexed="64"/>
      </patternFill>
    </fill>
    <fill>
      <patternFill patternType="solid">
        <fgColor theme="1" tint="0.249977111117893"/>
        <bgColor indexed="64"/>
      </patternFill>
    </fill>
    <fill>
      <patternFill patternType="solid">
        <fgColor theme="4" tint="-0.499984740745262"/>
        <bgColor indexed="64"/>
      </patternFill>
    </fill>
    <fill>
      <patternFill patternType="solid">
        <fgColor theme="2"/>
        <bgColor indexed="64"/>
      </patternFill>
    </fill>
    <fill>
      <patternFill patternType="solid">
        <fgColor theme="2" tint="-9.9978637043366805E-2"/>
        <bgColor indexed="64"/>
      </patternFill>
    </fill>
    <fill>
      <patternFill patternType="solid">
        <fgColor theme="0" tint="-0.14999847407452621"/>
        <bgColor indexed="64"/>
      </patternFill>
    </fill>
    <fill>
      <patternFill patternType="solid">
        <fgColor theme="3" tint="-0.249977111117893"/>
        <bgColor indexed="64"/>
      </patternFill>
    </fill>
    <fill>
      <patternFill patternType="solid">
        <fgColor theme="3" tint="0.59999389629810485"/>
        <bgColor indexed="64"/>
      </patternFill>
    </fill>
    <fill>
      <patternFill patternType="solid">
        <fgColor theme="3" tint="0.79998168889431442"/>
        <bgColor indexed="64"/>
      </patternFill>
    </fill>
    <fill>
      <patternFill patternType="solid">
        <fgColor theme="4" tint="0.79998168889431442"/>
        <bgColor indexed="65"/>
      </patternFill>
    </fill>
    <fill>
      <patternFill patternType="solid">
        <fgColor theme="0" tint="-4.9989318521683403E-2"/>
        <bgColor indexed="64"/>
      </patternFill>
    </fill>
  </fills>
  <borders count="36">
    <border>
      <left/>
      <right/>
      <top/>
      <bottom/>
      <diagonal/>
    </border>
    <border>
      <left/>
      <right/>
      <top/>
      <bottom style="thin">
        <color indexed="64"/>
      </bottom>
      <diagonal/>
    </border>
    <border>
      <left/>
      <right/>
      <top style="thin">
        <color indexed="64"/>
      </top>
      <bottom style="thin">
        <color indexed="64"/>
      </bottom>
      <diagonal/>
    </border>
    <border>
      <left/>
      <right/>
      <top style="thin">
        <color indexed="64"/>
      </top>
      <bottom style="double">
        <color indexed="64"/>
      </bottom>
      <diagonal/>
    </border>
    <border>
      <left/>
      <right style="thick">
        <color theme="0"/>
      </right>
      <top/>
      <bottom/>
      <diagonal/>
    </border>
    <border>
      <left style="thick">
        <color theme="0"/>
      </left>
      <right/>
      <top/>
      <bottom/>
      <diagonal/>
    </border>
    <border>
      <left/>
      <right/>
      <top/>
      <bottom style="medium">
        <color theme="1"/>
      </bottom>
      <diagonal/>
    </border>
    <border>
      <left/>
      <right/>
      <top/>
      <bottom style="thin">
        <color theme="1"/>
      </bottom>
      <diagonal/>
    </border>
    <border>
      <left/>
      <right/>
      <top style="thin">
        <color theme="1"/>
      </top>
      <bottom/>
      <diagonal/>
    </border>
    <border>
      <left/>
      <right/>
      <top style="thin">
        <color theme="1"/>
      </top>
      <bottom style="double">
        <color theme="1"/>
      </bottom>
      <diagonal/>
    </border>
    <border>
      <left/>
      <right/>
      <top style="thin">
        <color theme="1"/>
      </top>
      <bottom style="double">
        <color indexed="64"/>
      </bottom>
      <diagonal/>
    </border>
    <border>
      <left/>
      <right/>
      <top style="thin">
        <color indexed="64"/>
      </top>
      <bottom/>
      <diagonal/>
    </border>
    <border>
      <left style="slantDashDot">
        <color auto="1"/>
      </left>
      <right style="slantDashDot">
        <color auto="1"/>
      </right>
      <top style="slantDashDot">
        <color auto="1"/>
      </top>
      <bottom style="slantDashDot">
        <color auto="1"/>
      </bottom>
      <diagonal/>
    </border>
    <border>
      <left/>
      <right/>
      <top style="thin">
        <color theme="1"/>
      </top>
      <bottom style="thin">
        <color indexed="64"/>
      </bottom>
      <diagonal/>
    </border>
    <border>
      <left style="mediumDashed">
        <color auto="1"/>
      </left>
      <right style="mediumDashed">
        <color auto="1"/>
      </right>
      <top style="mediumDashed">
        <color auto="1"/>
      </top>
      <bottom style="mediumDashed">
        <color auto="1"/>
      </bottom>
      <diagonal/>
    </border>
    <border>
      <left/>
      <right/>
      <top style="medium">
        <color theme="1"/>
      </top>
      <bottom/>
      <diagonal/>
    </border>
    <border>
      <left/>
      <right/>
      <top/>
      <bottom style="medium">
        <color indexed="64"/>
      </bottom>
      <diagonal/>
    </border>
    <border>
      <left/>
      <right style="medium">
        <color indexed="64"/>
      </right>
      <top/>
      <bottom/>
      <diagonal/>
    </border>
    <border>
      <left style="medium">
        <color indexed="64"/>
      </left>
      <right style="medium">
        <color indexed="64"/>
      </right>
      <top style="medium">
        <color indexed="64"/>
      </top>
      <bottom style="medium">
        <color indexed="64"/>
      </bottom>
      <diagonal/>
    </border>
    <border>
      <left style="medium">
        <color indexed="64"/>
      </left>
      <right/>
      <top style="medium">
        <color indexed="64"/>
      </top>
      <bottom/>
      <diagonal/>
    </border>
    <border>
      <left/>
      <right style="medium">
        <color indexed="64"/>
      </right>
      <top style="medium">
        <color indexed="64"/>
      </top>
      <bottom/>
      <diagonal/>
    </border>
    <border>
      <left style="medium">
        <color indexed="64"/>
      </left>
      <right/>
      <top/>
      <bottom/>
      <diagonal/>
    </border>
    <border>
      <left style="medium">
        <color indexed="64"/>
      </left>
      <right/>
      <top/>
      <bottom style="medium">
        <color indexed="64"/>
      </bottom>
      <diagonal/>
    </border>
    <border>
      <left/>
      <right style="medium">
        <color indexed="64"/>
      </right>
      <top/>
      <bottom style="medium">
        <color indexed="64"/>
      </bottom>
      <diagonal/>
    </border>
    <border>
      <left style="slantDashDot">
        <color auto="1"/>
      </left>
      <right style="slantDashDot">
        <color auto="1"/>
      </right>
      <top style="slantDashDot">
        <color auto="1"/>
      </top>
      <bottom/>
      <diagonal/>
    </border>
    <border>
      <left style="thin">
        <color indexed="64"/>
      </left>
      <right style="thin">
        <color indexed="64"/>
      </right>
      <top style="thin">
        <color indexed="64"/>
      </top>
      <bottom style="thin">
        <color indexed="64"/>
      </bottom>
      <diagonal/>
    </border>
    <border>
      <left/>
      <right style="thin">
        <color indexed="64"/>
      </right>
      <top/>
      <bottom/>
      <diagonal/>
    </border>
    <border>
      <left style="thin">
        <color indexed="64"/>
      </left>
      <right style="thin">
        <color indexed="64"/>
      </right>
      <top/>
      <bottom style="thin">
        <color indexed="64"/>
      </bottom>
      <diagonal/>
    </border>
    <border>
      <left style="thin">
        <color indexed="64"/>
      </left>
      <right style="thin">
        <color indexed="64"/>
      </right>
      <top style="thin">
        <color indexed="64"/>
      </top>
      <bottom/>
      <diagonal/>
    </border>
    <border>
      <left style="thin">
        <color indexed="64"/>
      </left>
      <right style="thin">
        <color indexed="64"/>
      </right>
      <top/>
      <bottom/>
      <diagonal/>
    </border>
    <border>
      <left/>
      <right style="thin">
        <color indexed="64"/>
      </right>
      <top/>
      <bottom style="thin">
        <color indexed="64"/>
      </bottom>
      <diagonal/>
    </border>
    <border>
      <left style="thick">
        <color indexed="64"/>
      </left>
      <right style="thick">
        <color indexed="64"/>
      </right>
      <top style="thick">
        <color indexed="64"/>
      </top>
      <bottom style="thick">
        <color indexed="64"/>
      </bottom>
      <diagonal/>
    </border>
    <border>
      <left style="thick">
        <color indexed="64"/>
      </left>
      <right style="thick">
        <color indexed="64"/>
      </right>
      <top style="thick">
        <color indexed="64"/>
      </top>
      <bottom/>
      <diagonal/>
    </border>
    <border>
      <left style="thick">
        <color indexed="64"/>
      </left>
      <right style="thick">
        <color indexed="64"/>
      </right>
      <top/>
      <bottom/>
      <diagonal/>
    </border>
    <border>
      <left style="thick">
        <color indexed="64"/>
      </left>
      <right style="thick">
        <color indexed="64"/>
      </right>
      <top/>
      <bottom style="thick">
        <color indexed="64"/>
      </bottom>
      <diagonal/>
    </border>
    <border>
      <left/>
      <right style="thin">
        <color indexed="64"/>
      </right>
      <top style="thin">
        <color indexed="64"/>
      </top>
      <bottom/>
      <diagonal/>
    </border>
  </borders>
  <cellStyleXfs count="8">
    <xf numFmtId="0" fontId="0" fillId="0" borderId="0"/>
    <xf numFmtId="43" fontId="1" fillId="0" borderId="0" applyFont="0" applyFill="0" applyBorder="0" applyAlignment="0" applyProtection="0"/>
    <xf numFmtId="9" fontId="1" fillId="0" borderId="0" applyFont="0" applyFill="0" applyBorder="0" applyAlignment="0" applyProtection="0"/>
    <xf numFmtId="0" fontId="39" fillId="0" borderId="0" applyNumberFormat="0" applyFill="0" applyBorder="0" applyAlignment="0" applyProtection="0"/>
    <xf numFmtId="0" fontId="1" fillId="14" borderId="0" applyNumberFormat="0" applyBorder="0" applyAlignment="0" applyProtection="0"/>
    <xf numFmtId="0" fontId="1" fillId="0" borderId="0"/>
    <xf numFmtId="0" fontId="43" fillId="0" borderId="0" applyNumberFormat="0" applyFill="0" applyBorder="0" applyAlignment="0" applyProtection="0">
      <alignment vertical="top"/>
      <protection locked="0"/>
    </xf>
    <xf numFmtId="0" fontId="49" fillId="0" borderId="0" applyNumberFormat="0" applyFill="0" applyBorder="0" applyAlignment="0" applyProtection="0"/>
  </cellStyleXfs>
  <cellXfs count="320">
    <xf numFmtId="0" fontId="0" fillId="0" borderId="0" xfId="0"/>
    <xf numFmtId="0" fontId="3" fillId="0" borderId="0" xfId="0" applyFont="1"/>
    <xf numFmtId="0" fontId="5" fillId="2" borderId="0" xfId="0" applyFont="1" applyFill="1"/>
    <xf numFmtId="0" fontId="7" fillId="0" borderId="1" xfId="0" applyFont="1" applyBorder="1"/>
    <xf numFmtId="0" fontId="8" fillId="0" borderId="0" xfId="0" applyFont="1"/>
    <xf numFmtId="3" fontId="3" fillId="0" borderId="0" xfId="0" applyNumberFormat="1" applyFont="1"/>
    <xf numFmtId="3" fontId="3" fillId="0" borderId="0" xfId="0" applyNumberFormat="1" applyFont="1" applyAlignment="1">
      <alignment horizontal="right"/>
    </xf>
    <xf numFmtId="3" fontId="8" fillId="0" borderId="0" xfId="0" applyNumberFormat="1" applyFont="1" applyAlignment="1">
      <alignment horizontal="right"/>
    </xf>
    <xf numFmtId="3" fontId="8" fillId="0" borderId="0" xfId="0" applyNumberFormat="1" applyFont="1"/>
    <xf numFmtId="3" fontId="4" fillId="2" borderId="0" xfId="0" applyNumberFormat="1" applyFont="1" applyFill="1"/>
    <xf numFmtId="3" fontId="5" fillId="2" borderId="0" xfId="0" applyNumberFormat="1" applyFont="1" applyFill="1"/>
    <xf numFmtId="3" fontId="6" fillId="2" borderId="0" xfId="0" applyNumberFormat="1" applyFont="1" applyFill="1"/>
    <xf numFmtId="3" fontId="7" fillId="0" borderId="1" xfId="0" applyNumberFormat="1" applyFont="1" applyBorder="1"/>
    <xf numFmtId="3" fontId="8" fillId="0" borderId="0" xfId="0" applyNumberFormat="1" applyFont="1" applyAlignment="1">
      <alignment wrapText="1"/>
    </xf>
    <xf numFmtId="3" fontId="5" fillId="0" borderId="0" xfId="0" applyNumberFormat="1" applyFont="1"/>
    <xf numFmtId="0" fontId="8" fillId="0" borderId="1" xfId="0" applyFont="1" applyBorder="1"/>
    <xf numFmtId="3" fontId="8" fillId="0" borderId="2" xfId="0" applyNumberFormat="1" applyFont="1" applyBorder="1"/>
    <xf numFmtId="3" fontId="3" fillId="0" borderId="2" xfId="0" applyNumberFormat="1" applyFont="1" applyBorder="1"/>
    <xf numFmtId="3" fontId="8" fillId="0" borderId="3" xfId="0" applyNumberFormat="1" applyFont="1" applyBorder="1"/>
    <xf numFmtId="9" fontId="3" fillId="0" borderId="0" xfId="0" applyNumberFormat="1" applyFont="1"/>
    <xf numFmtId="0" fontId="2" fillId="0" borderId="0" xfId="0" applyFont="1"/>
    <xf numFmtId="9" fontId="2" fillId="0" borderId="0" xfId="2" applyFont="1" applyBorder="1"/>
    <xf numFmtId="165" fontId="8" fillId="0" borderId="0" xfId="1" applyNumberFormat="1" applyFont="1" applyBorder="1"/>
    <xf numFmtId="0" fontId="9" fillId="2" borderId="0" xfId="0" applyFont="1" applyFill="1"/>
    <xf numFmtId="166" fontId="6" fillId="3" borderId="0" xfId="0" applyNumberFormat="1" applyFont="1" applyFill="1"/>
    <xf numFmtId="166" fontId="6" fillId="3" borderId="4" xfId="0" applyNumberFormat="1" applyFont="1" applyFill="1" applyBorder="1"/>
    <xf numFmtId="167" fontId="6" fillId="2" borderId="0" xfId="0" applyNumberFormat="1" applyFont="1" applyFill="1"/>
    <xf numFmtId="3" fontId="10" fillId="2" borderId="0" xfId="0" applyNumberFormat="1" applyFont="1" applyFill="1"/>
    <xf numFmtId="0" fontId="3" fillId="2" borderId="0" xfId="0" applyFont="1" applyFill="1"/>
    <xf numFmtId="0" fontId="8" fillId="0" borderId="6" xfId="0" applyFont="1" applyBorder="1"/>
    <xf numFmtId="0" fontId="7" fillId="4" borderId="6" xfId="0" applyFont="1" applyFill="1" applyBorder="1"/>
    <xf numFmtId="168" fontId="3" fillId="0" borderId="6" xfId="0" applyNumberFormat="1" applyFont="1" applyBorder="1"/>
    <xf numFmtId="0" fontId="11" fillId="0" borderId="6" xfId="0" applyFont="1" applyBorder="1"/>
    <xf numFmtId="0" fontId="3" fillId="0" borderId="6" xfId="0" applyFont="1" applyBorder="1"/>
    <xf numFmtId="0" fontId="5" fillId="0" borderId="0" xfId="0" applyFont="1"/>
    <xf numFmtId="169" fontId="3" fillId="0" borderId="0" xfId="0" applyNumberFormat="1" applyFont="1"/>
    <xf numFmtId="169" fontId="3" fillId="0" borderId="0" xfId="2" applyNumberFormat="1" applyFont="1"/>
    <xf numFmtId="169" fontId="3" fillId="0" borderId="0" xfId="0" applyNumberFormat="1" applyFont="1" applyAlignment="1">
      <alignment horizontal="right"/>
    </xf>
    <xf numFmtId="1" fontId="3" fillId="0" borderId="0" xfId="0" applyNumberFormat="1" applyFont="1"/>
    <xf numFmtId="170" fontId="3" fillId="0" borderId="0" xfId="0" applyNumberFormat="1" applyFont="1"/>
    <xf numFmtId="0" fontId="12" fillId="5" borderId="0" xfId="0" applyFont="1" applyFill="1"/>
    <xf numFmtId="0" fontId="5" fillId="5" borderId="0" xfId="0" applyFont="1" applyFill="1"/>
    <xf numFmtId="166" fontId="13" fillId="5" borderId="0" xfId="0" applyNumberFormat="1" applyFont="1" applyFill="1" applyAlignment="1">
      <alignment horizontal="right"/>
    </xf>
    <xf numFmtId="0" fontId="14" fillId="0" borderId="0" xfId="0" applyFont="1"/>
    <xf numFmtId="0" fontId="3" fillId="0" borderId="7" xfId="0" applyFont="1" applyBorder="1"/>
    <xf numFmtId="0" fontId="17" fillId="0" borderId="7" xfId="0" applyFont="1" applyBorder="1"/>
    <xf numFmtId="171" fontId="3" fillId="0" borderId="7" xfId="0" applyNumberFormat="1" applyFont="1" applyBorder="1"/>
    <xf numFmtId="0" fontId="17" fillId="0" borderId="0" xfId="0" applyFont="1"/>
    <xf numFmtId="171" fontId="3" fillId="0" borderId="0" xfId="0" applyNumberFormat="1" applyFont="1"/>
    <xf numFmtId="171" fontId="19" fillId="0" borderId="0" xfId="0" applyNumberFormat="1" applyFont="1"/>
    <xf numFmtId="0" fontId="3" fillId="0" borderId="8" xfId="0" applyFont="1" applyBorder="1"/>
    <xf numFmtId="0" fontId="8" fillId="0" borderId="8" xfId="0" applyFont="1" applyBorder="1"/>
    <xf numFmtId="0" fontId="17" fillId="0" borderId="8" xfId="0" applyFont="1" applyBorder="1"/>
    <xf numFmtId="171" fontId="8" fillId="0" borderId="8" xfId="0" applyNumberFormat="1" applyFont="1" applyBorder="1"/>
    <xf numFmtId="0" fontId="8" fillId="0" borderId="9" xfId="0" applyFont="1" applyBorder="1"/>
    <xf numFmtId="0" fontId="3" fillId="0" borderId="9" xfId="0" applyFont="1" applyBorder="1"/>
    <xf numFmtId="0" fontId="20" fillId="0" borderId="0" xfId="0" applyFont="1"/>
    <xf numFmtId="0" fontId="8" fillId="0" borderId="7" xfId="0" applyFont="1" applyBorder="1"/>
    <xf numFmtId="14" fontId="21" fillId="0" borderId="0" xfId="0" applyNumberFormat="1" applyFont="1" applyAlignment="1">
      <alignment horizontal="right"/>
    </xf>
    <xf numFmtId="169" fontId="16" fillId="0" borderId="0" xfId="2" applyNumberFormat="1" applyFont="1" applyAlignment="1">
      <alignment horizontal="right"/>
    </xf>
    <xf numFmtId="2" fontId="21" fillId="0" borderId="0" xfId="0" applyNumberFormat="1" applyFont="1"/>
    <xf numFmtId="171" fontId="8" fillId="0" borderId="7" xfId="0" applyNumberFormat="1" applyFont="1" applyBorder="1"/>
    <xf numFmtId="172" fontId="3" fillId="0" borderId="0" xfId="0" applyNumberFormat="1" applyFont="1"/>
    <xf numFmtId="171" fontId="3" fillId="0" borderId="8" xfId="0" applyNumberFormat="1" applyFont="1" applyBorder="1"/>
    <xf numFmtId="3" fontId="3" fillId="0" borderId="8" xfId="0" applyNumberFormat="1" applyFont="1" applyBorder="1"/>
    <xf numFmtId="171" fontId="9" fillId="6" borderId="0" xfId="0" applyNumberFormat="1" applyFont="1" applyFill="1"/>
    <xf numFmtId="0" fontId="17" fillId="0" borderId="10" xfId="0" applyFont="1" applyBorder="1"/>
    <xf numFmtId="0" fontId="17" fillId="0" borderId="3" xfId="0" applyFont="1" applyBorder="1"/>
    <xf numFmtId="0" fontId="17" fillId="0" borderId="1" xfId="0" applyFont="1" applyBorder="1"/>
    <xf numFmtId="0" fontId="3" fillId="0" borderId="1" xfId="0" applyFont="1" applyBorder="1"/>
    <xf numFmtId="173" fontId="3" fillId="0" borderId="0" xfId="0" applyNumberFormat="1" applyFont="1"/>
    <xf numFmtId="2" fontId="3" fillId="0" borderId="0" xfId="0" applyNumberFormat="1" applyFont="1" applyAlignment="1">
      <alignment horizontal="right"/>
    </xf>
    <xf numFmtId="171" fontId="3" fillId="0" borderId="0" xfId="0" applyNumberFormat="1" applyFont="1" applyAlignment="1">
      <alignment horizontal="right"/>
    </xf>
    <xf numFmtId="171" fontId="16" fillId="0" borderId="0" xfId="0" applyNumberFormat="1" applyFont="1"/>
    <xf numFmtId="171" fontId="19" fillId="0" borderId="7" xfId="0" applyNumberFormat="1" applyFont="1" applyBorder="1"/>
    <xf numFmtId="171" fontId="8" fillId="0" borderId="0" xfId="0" applyNumberFormat="1" applyFont="1"/>
    <xf numFmtId="171" fontId="8" fillId="0" borderId="9" xfId="0" applyNumberFormat="1" applyFont="1" applyBorder="1"/>
    <xf numFmtId="171" fontId="3" fillId="2" borderId="0" xfId="0" applyNumberFormat="1" applyFont="1" applyFill="1"/>
    <xf numFmtId="171" fontId="20" fillId="0" borderId="0" xfId="0" applyNumberFormat="1" applyFont="1"/>
    <xf numFmtId="171" fontId="19" fillId="0" borderId="0" xfId="0" applyNumberFormat="1" applyFont="1" applyAlignment="1">
      <alignment horizontal="right"/>
    </xf>
    <xf numFmtId="171" fontId="23" fillId="0" borderId="0" xfId="0" applyNumberFormat="1" applyFont="1" applyAlignment="1">
      <alignment horizontal="right"/>
    </xf>
    <xf numFmtId="171" fontId="8" fillId="0" borderId="11" xfId="0" applyNumberFormat="1" applyFont="1" applyBorder="1"/>
    <xf numFmtId="9" fontId="3" fillId="0" borderId="0" xfId="2" applyFont="1"/>
    <xf numFmtId="3" fontId="6" fillId="5" borderId="0" xfId="0" applyNumberFormat="1" applyFont="1" applyFill="1"/>
    <xf numFmtId="3" fontId="5" fillId="5" borderId="0" xfId="0" applyNumberFormat="1" applyFont="1" applyFill="1"/>
    <xf numFmtId="0" fontId="3" fillId="5" borderId="0" xfId="0" applyFont="1" applyFill="1"/>
    <xf numFmtId="169" fontId="3" fillId="0" borderId="12" xfId="2" applyNumberFormat="1" applyFont="1" applyBorder="1"/>
    <xf numFmtId="164" fontId="24" fillId="5" borderId="13" xfId="0" applyNumberFormat="1" applyFont="1" applyFill="1" applyBorder="1" applyAlignment="1">
      <alignment horizontal="center"/>
    </xf>
    <xf numFmtId="0" fontId="8" fillId="0" borderId="2" xfId="0" applyFont="1" applyBorder="1"/>
    <xf numFmtId="9" fontId="8" fillId="0" borderId="0" xfId="2" applyFont="1" applyBorder="1"/>
    <xf numFmtId="164" fontId="8" fillId="0" borderId="2" xfId="0" applyNumberFormat="1" applyFont="1" applyBorder="1"/>
    <xf numFmtId="3" fontId="25" fillId="0" borderId="0" xfId="0" applyNumberFormat="1" applyFont="1"/>
    <xf numFmtId="164" fontId="8" fillId="0" borderId="0" xfId="0" applyNumberFormat="1" applyFont="1" applyAlignment="1">
      <alignment horizontal="right"/>
    </xf>
    <xf numFmtId="169" fontId="3" fillId="5" borderId="0" xfId="0" applyNumberFormat="1" applyFont="1" applyFill="1"/>
    <xf numFmtId="171" fontId="24" fillId="0" borderId="0" xfId="0" applyNumberFormat="1" applyFont="1"/>
    <xf numFmtId="171" fontId="3" fillId="0" borderId="7" xfId="0" applyNumberFormat="1" applyFont="1" applyBorder="1" applyAlignment="1">
      <alignment horizontal="right"/>
    </xf>
    <xf numFmtId="0" fontId="25" fillId="7" borderId="0" xfId="0" applyFont="1" applyFill="1"/>
    <xf numFmtId="0" fontId="25" fillId="7" borderId="0" xfId="0" applyFont="1" applyFill="1" applyAlignment="1">
      <alignment horizontal="center"/>
    </xf>
    <xf numFmtId="0" fontId="25" fillId="7" borderId="0" xfId="0" applyFont="1" applyFill="1" applyAlignment="1">
      <alignment horizontal="left"/>
    </xf>
    <xf numFmtId="0" fontId="25" fillId="7" borderId="0" xfId="0" applyFont="1" applyFill="1" applyAlignment="1">
      <alignment horizontal="right"/>
    </xf>
    <xf numFmtId="0" fontId="26" fillId="7" borderId="0" xfId="0" applyFont="1" applyFill="1"/>
    <xf numFmtId="0" fontId="28" fillId="7" borderId="0" xfId="0" applyFont="1" applyFill="1"/>
    <xf numFmtId="0" fontId="26" fillId="7" borderId="0" xfId="0" applyFont="1" applyFill="1" applyAlignment="1">
      <alignment horizontal="right"/>
    </xf>
    <xf numFmtId="0" fontId="28" fillId="7" borderId="0" xfId="0" applyFont="1" applyFill="1" applyAlignment="1">
      <alignment horizontal="right"/>
    </xf>
    <xf numFmtId="4" fontId="0" fillId="0" borderId="0" xfId="0" applyNumberFormat="1"/>
    <xf numFmtId="0" fontId="0" fillId="5" borderId="0" xfId="0" applyFill="1"/>
    <xf numFmtId="0" fontId="0" fillId="10" borderId="0" xfId="0" applyFill="1"/>
    <xf numFmtId="9" fontId="0" fillId="10" borderId="0" xfId="0" applyNumberFormat="1" applyFill="1"/>
    <xf numFmtId="38" fontId="3" fillId="0" borderId="0" xfId="0" applyNumberFormat="1" applyFont="1"/>
    <xf numFmtId="175" fontId="0" fillId="10" borderId="0" xfId="0" applyNumberFormat="1" applyFill="1"/>
    <xf numFmtId="175" fontId="3" fillId="0" borderId="0" xfId="0" applyNumberFormat="1" applyFont="1" applyAlignment="1">
      <alignment horizontal="center"/>
    </xf>
    <xf numFmtId="176" fontId="3" fillId="0" borderId="0" xfId="0" applyNumberFormat="1" applyFont="1"/>
    <xf numFmtId="0" fontId="25" fillId="11" borderId="0" xfId="0" applyFont="1" applyFill="1"/>
    <xf numFmtId="170" fontId="25" fillId="7" borderId="0" xfId="0" applyNumberFormat="1" applyFont="1" applyFill="1"/>
    <xf numFmtId="0" fontId="25" fillId="11" borderId="0" xfId="0" applyFont="1" applyFill="1" applyAlignment="1">
      <alignment horizontal="center"/>
    </xf>
    <xf numFmtId="170" fontId="19" fillId="0" borderId="0" xfId="0" applyNumberFormat="1" applyFont="1"/>
    <xf numFmtId="174" fontId="3" fillId="0" borderId="0" xfId="0" applyNumberFormat="1" applyFont="1"/>
    <xf numFmtId="0" fontId="30" fillId="7" borderId="0" xfId="0" applyFont="1" applyFill="1"/>
    <xf numFmtId="177" fontId="31" fillId="0" borderId="0" xfId="0" applyNumberFormat="1" applyFont="1"/>
    <xf numFmtId="0" fontId="31" fillId="0" borderId="0" xfId="0" applyFont="1"/>
    <xf numFmtId="0" fontId="7" fillId="0" borderId="14" xfId="0" applyFont="1" applyBorder="1"/>
    <xf numFmtId="1" fontId="7" fillId="0" borderId="14" xfId="0" applyNumberFormat="1" applyFont="1" applyBorder="1"/>
    <xf numFmtId="169" fontId="7" fillId="0" borderId="14" xfId="2" applyNumberFormat="1" applyFont="1" applyBorder="1"/>
    <xf numFmtId="0" fontId="32" fillId="11" borderId="0" xfId="0" applyFont="1" applyFill="1"/>
    <xf numFmtId="0" fontId="9" fillId="11" borderId="0" xfId="0" applyFont="1" applyFill="1"/>
    <xf numFmtId="0" fontId="33" fillId="11" borderId="0" xfId="0" applyFont="1" applyFill="1"/>
    <xf numFmtId="0" fontId="5" fillId="11" borderId="0" xfId="0" applyFont="1" applyFill="1"/>
    <xf numFmtId="0" fontId="3" fillId="11" borderId="0" xfId="0" applyFont="1" applyFill="1"/>
    <xf numFmtId="0" fontId="8" fillId="9" borderId="0" xfId="0" applyFont="1" applyFill="1"/>
    <xf numFmtId="0" fontId="8" fillId="8" borderId="0" xfId="0" applyFont="1" applyFill="1"/>
    <xf numFmtId="0" fontId="3" fillId="0" borderId="15" xfId="0" applyFont="1" applyBorder="1"/>
    <xf numFmtId="0" fontId="8" fillId="12" borderId="0" xfId="0" applyFont="1" applyFill="1"/>
    <xf numFmtId="0" fontId="8" fillId="13" borderId="0" xfId="0" applyFont="1" applyFill="1"/>
    <xf numFmtId="0" fontId="3" fillId="9" borderId="0" xfId="0" applyFont="1" applyFill="1"/>
    <xf numFmtId="0" fontId="3" fillId="8" borderId="0" xfId="0" applyFont="1" applyFill="1"/>
    <xf numFmtId="0" fontId="3" fillId="13" borderId="0" xfId="0" applyFont="1" applyFill="1"/>
    <xf numFmtId="0" fontId="8" fillId="0" borderId="0" xfId="0" applyFont="1" applyAlignment="1">
      <alignment horizontal="center" vertical="top"/>
    </xf>
    <xf numFmtId="0" fontId="8" fillId="0" borderId="6" xfId="0" applyFont="1" applyBorder="1" applyAlignment="1">
      <alignment horizontal="center" vertical="top"/>
    </xf>
    <xf numFmtId="176" fontId="34" fillId="0" borderId="15" xfId="0" applyNumberFormat="1" applyFont="1" applyBorder="1" applyAlignment="1">
      <alignment horizontal="center"/>
    </xf>
    <xf numFmtId="176" fontId="35" fillId="13" borderId="0" xfId="0" applyNumberFormat="1" applyFont="1" applyFill="1" applyAlignment="1">
      <alignment horizontal="center"/>
    </xf>
    <xf numFmtId="169" fontId="3" fillId="0" borderId="8" xfId="0" applyNumberFormat="1" applyFont="1" applyBorder="1"/>
    <xf numFmtId="169" fontId="19" fillId="0" borderId="0" xfId="2" applyNumberFormat="1" applyFont="1"/>
    <xf numFmtId="169" fontId="19" fillId="0" borderId="7" xfId="0" applyNumberFormat="1" applyFont="1" applyBorder="1"/>
    <xf numFmtId="169" fontId="8" fillId="0" borderId="0" xfId="2" applyNumberFormat="1" applyFont="1"/>
    <xf numFmtId="169" fontId="19" fillId="0" borderId="0" xfId="0" applyNumberFormat="1" applyFont="1"/>
    <xf numFmtId="2" fontId="3" fillId="0" borderId="7" xfId="0" applyNumberFormat="1" applyFont="1" applyBorder="1"/>
    <xf numFmtId="169" fontId="3" fillId="0" borderId="9" xfId="0" applyNumberFormat="1" applyFont="1" applyBorder="1"/>
    <xf numFmtId="0" fontId="8" fillId="0" borderId="0" xfId="0" applyFont="1" applyAlignment="1">
      <alignment horizontal="center"/>
    </xf>
    <xf numFmtId="0" fontId="8" fillId="0" borderId="6" xfId="0" applyFont="1" applyBorder="1" applyAlignment="1">
      <alignment horizontal="center"/>
    </xf>
    <xf numFmtId="169" fontId="5" fillId="0" borderId="0" xfId="2" applyNumberFormat="1" applyFont="1" applyBorder="1" applyAlignment="1">
      <alignment horizontal="center"/>
    </xf>
    <xf numFmtId="169" fontId="8" fillId="12" borderId="0" xfId="0" applyNumberFormat="1" applyFont="1" applyFill="1" applyAlignment="1">
      <alignment horizontal="center"/>
    </xf>
    <xf numFmtId="169" fontId="7" fillId="13" borderId="0" xfId="2" applyNumberFormat="1" applyFont="1" applyFill="1" applyAlignment="1">
      <alignment horizontal="center"/>
    </xf>
    <xf numFmtId="169" fontId="35" fillId="13" borderId="0" xfId="2" applyNumberFormat="1" applyFont="1" applyFill="1" applyAlignment="1">
      <alignment horizontal="center"/>
    </xf>
    <xf numFmtId="169" fontId="34" fillId="0" borderId="15" xfId="2" applyNumberFormat="1" applyFont="1" applyBorder="1" applyAlignment="1">
      <alignment horizontal="center"/>
    </xf>
    <xf numFmtId="169" fontId="34" fillId="0" borderId="0" xfId="2" applyNumberFormat="1" applyFont="1" applyBorder="1" applyAlignment="1">
      <alignment horizontal="center"/>
    </xf>
    <xf numFmtId="10" fontId="35" fillId="13" borderId="0" xfId="0" applyNumberFormat="1" applyFont="1" applyFill="1" applyAlignment="1">
      <alignment horizontal="center"/>
    </xf>
    <xf numFmtId="0" fontId="34" fillId="0" borderId="15" xfId="0" applyFont="1" applyBorder="1" applyAlignment="1">
      <alignment horizontal="center"/>
    </xf>
    <xf numFmtId="0" fontId="34" fillId="0" borderId="0" xfId="0" applyFont="1" applyAlignment="1">
      <alignment horizontal="center"/>
    </xf>
    <xf numFmtId="0" fontId="7" fillId="13" borderId="0" xfId="0" applyFont="1" applyFill="1" applyAlignment="1">
      <alignment horizontal="center"/>
    </xf>
    <xf numFmtId="2" fontId="5" fillId="0" borderId="0" xfId="2" applyNumberFormat="1" applyFont="1" applyBorder="1" applyAlignment="1">
      <alignment horizontal="center"/>
    </xf>
    <xf numFmtId="3" fontId="32" fillId="11" borderId="0" xfId="0" applyNumberFormat="1" applyFont="1" applyFill="1"/>
    <xf numFmtId="176" fontId="34" fillId="0" borderId="0" xfId="0" applyNumberFormat="1" applyFont="1" applyAlignment="1">
      <alignment horizontal="center"/>
    </xf>
    <xf numFmtId="0" fontId="8" fillId="0" borderId="16" xfId="0" applyFont="1" applyBorder="1" applyAlignment="1">
      <alignment horizontal="center" vertical="top"/>
    </xf>
    <xf numFmtId="2" fontId="8" fillId="12" borderId="0" xfId="2" applyNumberFormat="1" applyFont="1" applyFill="1" applyAlignment="1">
      <alignment horizontal="center"/>
    </xf>
    <xf numFmtId="0" fontId="36" fillId="11" borderId="0" xfId="0" applyFont="1" applyFill="1" applyAlignment="1">
      <alignment horizontal="center" vertical="center"/>
    </xf>
    <xf numFmtId="178" fontId="0" fillId="0" borderId="0" xfId="0" applyNumberFormat="1"/>
    <xf numFmtId="4" fontId="5" fillId="0" borderId="0" xfId="0" applyNumberFormat="1" applyFont="1"/>
    <xf numFmtId="169" fontId="5" fillId="0" borderId="0" xfId="2" applyNumberFormat="1" applyFont="1"/>
    <xf numFmtId="0" fontId="7" fillId="0" borderId="0" xfId="0" applyFont="1"/>
    <xf numFmtId="2" fontId="7" fillId="0" borderId="0" xfId="0" applyNumberFormat="1" applyFont="1"/>
    <xf numFmtId="0" fontId="37" fillId="0" borderId="0" xfId="0" applyFont="1" applyAlignment="1">
      <alignment horizontal="centerContinuous"/>
    </xf>
    <xf numFmtId="0" fontId="37" fillId="0" borderId="0" xfId="0" applyFont="1" applyAlignment="1">
      <alignment horizontal="center"/>
    </xf>
    <xf numFmtId="171" fontId="9" fillId="6" borderId="0" xfId="0" applyNumberFormat="1" applyFont="1" applyFill="1" applyAlignment="1">
      <alignment horizontal="centerContinuous"/>
    </xf>
    <xf numFmtId="170" fontId="8" fillId="0" borderId="0" xfId="0" applyNumberFormat="1" applyFont="1"/>
    <xf numFmtId="169" fontId="8" fillId="0" borderId="17" xfId="0" applyNumberFormat="1" applyFont="1" applyBorder="1"/>
    <xf numFmtId="168" fontId="3" fillId="0" borderId="17" xfId="0" applyNumberFormat="1" applyFont="1" applyBorder="1"/>
    <xf numFmtId="171" fontId="3" fillId="8" borderId="0" xfId="0" applyNumberFormat="1" applyFont="1" applyFill="1"/>
    <xf numFmtId="171" fontId="3" fillId="9" borderId="0" xfId="0" applyNumberFormat="1" applyFont="1" applyFill="1"/>
    <xf numFmtId="9" fontId="8" fillId="0" borderId="0" xfId="2" applyFont="1"/>
    <xf numFmtId="0" fontId="3" fillId="4" borderId="0" xfId="0" applyFont="1" applyFill="1"/>
    <xf numFmtId="0" fontId="6" fillId="11" borderId="0" xfId="0" applyFont="1" applyFill="1"/>
    <xf numFmtId="0" fontId="36" fillId="11" borderId="0" xfId="0" applyFont="1" applyFill="1"/>
    <xf numFmtId="0" fontId="36" fillId="11" borderId="0" xfId="0" applyFont="1" applyFill="1" applyAlignment="1">
      <alignment horizontal="center"/>
    </xf>
    <xf numFmtId="0" fontId="36" fillId="5" borderId="0" xfId="0" applyFont="1" applyFill="1"/>
    <xf numFmtId="0" fontId="8" fillId="0" borderId="0" xfId="0" applyFont="1" applyAlignment="1">
      <alignment horizontal="center" vertical="center"/>
    </xf>
    <xf numFmtId="171" fontId="3" fillId="0" borderId="0" xfId="0" applyNumberFormat="1" applyFont="1" applyAlignment="1">
      <alignment horizontal="center"/>
    </xf>
    <xf numFmtId="0" fontId="7" fillId="0" borderId="12" xfId="0" applyFont="1" applyBorder="1"/>
    <xf numFmtId="2" fontId="7" fillId="0" borderId="12" xfId="0" applyNumberFormat="1" applyFont="1" applyBorder="1"/>
    <xf numFmtId="4" fontId="7" fillId="0" borderId="12" xfId="0" applyNumberFormat="1" applyFont="1" applyBorder="1"/>
    <xf numFmtId="3" fontId="7" fillId="0" borderId="2" xfId="0" applyNumberFormat="1" applyFont="1" applyBorder="1"/>
    <xf numFmtId="0" fontId="7" fillId="0" borderId="2" xfId="0" applyFont="1" applyBorder="1"/>
    <xf numFmtId="3" fontId="20" fillId="0" borderId="0" xfId="0" applyNumberFormat="1" applyFont="1"/>
    <xf numFmtId="179" fontId="3" fillId="0" borderId="0" xfId="0" applyNumberFormat="1" applyFont="1"/>
    <xf numFmtId="166" fontId="8" fillId="0" borderId="6" xfId="0" applyNumberFormat="1" applyFont="1" applyBorder="1" applyAlignment="1">
      <alignment horizontal="right"/>
    </xf>
    <xf numFmtId="167" fontId="24" fillId="5" borderId="16" xfId="0" applyNumberFormat="1" applyFont="1" applyFill="1" applyBorder="1"/>
    <xf numFmtId="14" fontId="20" fillId="0" borderId="0" xfId="0" applyNumberFormat="1" applyFont="1" applyAlignment="1">
      <alignment horizontal="right"/>
    </xf>
    <xf numFmtId="0" fontId="8" fillId="0" borderId="19" xfId="0" applyFont="1" applyBorder="1"/>
    <xf numFmtId="171" fontId="8" fillId="0" borderId="20" xfId="0" applyNumberFormat="1" applyFont="1" applyBorder="1"/>
    <xf numFmtId="0" fontId="20" fillId="0" borderId="21" xfId="0" applyFont="1" applyBorder="1"/>
    <xf numFmtId="172" fontId="3" fillId="0" borderId="17" xfId="0" applyNumberFormat="1" applyFont="1" applyBorder="1"/>
    <xf numFmtId="0" fontId="3" fillId="0" borderId="21" xfId="0" applyFont="1" applyBorder="1"/>
    <xf numFmtId="171" fontId="3" fillId="0" borderId="17" xfId="0" applyNumberFormat="1" applyFont="1" applyBorder="1"/>
    <xf numFmtId="0" fontId="22" fillId="0" borderId="21" xfId="0" applyFont="1" applyBorder="1"/>
    <xf numFmtId="171" fontId="22" fillId="0" borderId="17" xfId="0" applyNumberFormat="1" applyFont="1" applyBorder="1"/>
    <xf numFmtId="0" fontId="3" fillId="0" borderId="22" xfId="0" applyFont="1" applyBorder="1"/>
    <xf numFmtId="0" fontId="3" fillId="0" borderId="23" xfId="0" applyFont="1" applyBorder="1"/>
    <xf numFmtId="180" fontId="19" fillId="0" borderId="0" xfId="2" applyNumberFormat="1" applyFont="1"/>
    <xf numFmtId="169" fontId="3" fillId="0" borderId="24" xfId="2" applyNumberFormat="1" applyFont="1" applyBorder="1"/>
    <xf numFmtId="169" fontId="3" fillId="0" borderId="18" xfId="2" applyNumberFormat="1" applyFont="1" applyBorder="1"/>
    <xf numFmtId="14" fontId="3" fillId="0" borderId="0" xfId="0" applyNumberFormat="1" applyFont="1"/>
    <xf numFmtId="0" fontId="20" fillId="0" borderId="0" xfId="0" applyFont="1" applyAlignment="1">
      <alignment horizontal="right"/>
    </xf>
    <xf numFmtId="2" fontId="20" fillId="0" borderId="0" xfId="0" applyNumberFormat="1" applyFont="1" applyAlignment="1">
      <alignment horizontal="right"/>
    </xf>
    <xf numFmtId="181" fontId="20" fillId="0" borderId="0" xfId="0" applyNumberFormat="1" applyFont="1" applyAlignment="1">
      <alignment horizontal="right"/>
    </xf>
    <xf numFmtId="171" fontId="3" fillId="0" borderId="1" xfId="0" applyNumberFormat="1" applyFont="1" applyBorder="1"/>
    <xf numFmtId="0" fontId="8" fillId="0" borderId="16" xfId="0" applyFont="1" applyBorder="1" applyAlignment="1">
      <alignment horizontal="center"/>
    </xf>
    <xf numFmtId="182" fontId="19" fillId="0" borderId="0" xfId="2" applyNumberFormat="1" applyFont="1"/>
    <xf numFmtId="0" fontId="6" fillId="7" borderId="25" xfId="0" applyFont="1" applyFill="1" applyBorder="1"/>
    <xf numFmtId="0" fontId="7" fillId="0" borderId="25" xfId="0" applyFont="1" applyBorder="1"/>
    <xf numFmtId="0" fontId="5" fillId="0" borderId="25" xfId="0" applyFont="1" applyBorder="1"/>
    <xf numFmtId="0" fontId="40" fillId="0" borderId="25" xfId="3" applyFont="1" applyBorder="1" applyAlignment="1"/>
    <xf numFmtId="0" fontId="6" fillId="7" borderId="25" xfId="0" applyFont="1" applyFill="1" applyBorder="1" applyAlignment="1">
      <alignment vertical="center"/>
    </xf>
    <xf numFmtId="0" fontId="5" fillId="0" borderId="25" xfId="0" applyFont="1" applyBorder="1" applyAlignment="1">
      <alignment wrapText="1"/>
    </xf>
    <xf numFmtId="0" fontId="40" fillId="0" borderId="0" xfId="3" applyFont="1" applyBorder="1" applyAlignment="1"/>
    <xf numFmtId="0" fontId="5" fillId="0" borderId="0" xfId="0" applyFont="1" applyAlignment="1">
      <alignment vertical="center" wrapText="1"/>
    </xf>
    <xf numFmtId="0" fontId="9" fillId="5" borderId="0" xfId="0" applyFont="1" applyFill="1"/>
    <xf numFmtId="0" fontId="41" fillId="0" borderId="0" xfId="0" applyFont="1"/>
    <xf numFmtId="0" fontId="5" fillId="15" borderId="0" xfId="0" applyFont="1" applyFill="1"/>
    <xf numFmtId="0" fontId="7" fillId="15" borderId="0" xfId="0" applyFont="1" applyFill="1"/>
    <xf numFmtId="9" fontId="5" fillId="15" borderId="0" xfId="0" applyNumberFormat="1" applyFont="1" applyFill="1" applyAlignment="1">
      <alignment vertical="center"/>
    </xf>
    <xf numFmtId="9" fontId="5" fillId="0" borderId="0" xfId="2" applyFont="1" applyAlignment="1">
      <alignment vertical="center"/>
    </xf>
    <xf numFmtId="0" fontId="5" fillId="0" borderId="0" xfId="0" applyFont="1" applyAlignment="1">
      <alignment vertical="center"/>
    </xf>
    <xf numFmtId="0" fontId="5" fillId="15" borderId="0" xfId="0" applyFont="1" applyFill="1" applyAlignment="1">
      <alignment vertical="center"/>
    </xf>
    <xf numFmtId="0" fontId="7" fillId="15" borderId="0" xfId="0" applyFont="1" applyFill="1" applyAlignment="1">
      <alignment vertical="center"/>
    </xf>
    <xf numFmtId="10" fontId="5" fillId="0" borderId="0" xfId="2" applyNumberFormat="1" applyFont="1" applyAlignment="1">
      <alignment vertical="center"/>
    </xf>
    <xf numFmtId="171" fontId="25" fillId="0" borderId="0" xfId="0" applyNumberFormat="1" applyFont="1"/>
    <xf numFmtId="10" fontId="5" fillId="5" borderId="0" xfId="2" applyNumberFormat="1" applyFont="1" applyFill="1" applyAlignment="1">
      <alignment vertical="center"/>
    </xf>
    <xf numFmtId="9" fontId="5" fillId="5" borderId="0" xfId="0" applyNumberFormat="1" applyFont="1" applyFill="1" applyAlignment="1">
      <alignment vertical="center"/>
    </xf>
    <xf numFmtId="9" fontId="5" fillId="5" borderId="0" xfId="2" applyFont="1" applyFill="1" applyAlignment="1">
      <alignment vertical="center"/>
    </xf>
    <xf numFmtId="171" fontId="25" fillId="5" borderId="0" xfId="0" applyNumberFormat="1" applyFont="1" applyFill="1"/>
    <xf numFmtId="0" fontId="8" fillId="0" borderId="11" xfId="0" applyFont="1" applyBorder="1" applyAlignment="1">
      <alignment horizontal="center" vertical="center" wrapText="1"/>
    </xf>
    <xf numFmtId="0" fontId="8" fillId="15" borderId="11" xfId="0" applyFont="1" applyFill="1" applyBorder="1" applyAlignment="1">
      <alignment horizontal="center" vertical="center" wrapText="1"/>
    </xf>
    <xf numFmtId="2" fontId="3" fillId="0" borderId="0" xfId="0" applyNumberFormat="1" applyFont="1" applyAlignment="1">
      <alignment horizontal="right" vertical="center"/>
    </xf>
    <xf numFmtId="2" fontId="3" fillId="15" borderId="0" xfId="0" applyNumberFormat="1" applyFont="1" applyFill="1" applyAlignment="1">
      <alignment horizontal="right" vertical="center"/>
    </xf>
    <xf numFmtId="0" fontId="8" fillId="0" borderId="26" xfId="0" applyFont="1" applyBorder="1" applyAlignment="1">
      <alignment horizontal="center" vertical="center"/>
    </xf>
    <xf numFmtId="0" fontId="3" fillId="0" borderId="26" xfId="0" applyFont="1" applyBorder="1" applyAlignment="1">
      <alignment horizontal="center" vertical="center"/>
    </xf>
    <xf numFmtId="9" fontId="3" fillId="0" borderId="0" xfId="2" applyFont="1" applyAlignment="1">
      <alignment horizontal="center" vertical="center"/>
    </xf>
    <xf numFmtId="9" fontId="3" fillId="15" borderId="0" xfId="2" applyFont="1" applyFill="1" applyAlignment="1">
      <alignment horizontal="center" vertical="center"/>
    </xf>
    <xf numFmtId="0" fontId="3" fillId="0" borderId="0" xfId="0" applyFont="1" applyAlignment="1">
      <alignment horizontal="center" vertical="center"/>
    </xf>
    <xf numFmtId="2" fontId="3" fillId="0" borderId="0" xfId="0" applyNumberFormat="1" applyFont="1" applyAlignment="1">
      <alignment horizontal="center" vertical="center"/>
    </xf>
    <xf numFmtId="2" fontId="3" fillId="15" borderId="0" xfId="0" applyNumberFormat="1" applyFont="1" applyFill="1" applyAlignment="1">
      <alignment horizontal="center" vertical="center"/>
    </xf>
    <xf numFmtId="165" fontId="3" fillId="0" borderId="0" xfId="0" applyNumberFormat="1" applyFont="1" applyAlignment="1">
      <alignment horizontal="center" vertical="center"/>
    </xf>
    <xf numFmtId="165" fontId="3" fillId="15" borderId="0" xfId="0" applyNumberFormat="1" applyFont="1" applyFill="1" applyAlignment="1">
      <alignment horizontal="center" vertical="center"/>
    </xf>
    <xf numFmtId="0" fontId="20" fillId="0" borderId="1" xfId="0" applyFont="1" applyBorder="1" applyAlignment="1">
      <alignment horizontal="center" vertical="center"/>
    </xf>
    <xf numFmtId="0" fontId="20" fillId="15" borderId="1" xfId="4" applyFont="1" applyFill="1" applyBorder="1" applyAlignment="1">
      <alignment horizontal="center" vertical="center"/>
    </xf>
    <xf numFmtId="0" fontId="3" fillId="15" borderId="0" xfId="0" applyFont="1" applyFill="1" applyAlignment="1">
      <alignment horizontal="center" vertical="center"/>
    </xf>
    <xf numFmtId="165" fontId="3" fillId="15" borderId="0" xfId="0" applyNumberFormat="1" applyFont="1" applyFill="1" applyAlignment="1">
      <alignment horizontal="right" vertical="center"/>
    </xf>
    <xf numFmtId="10" fontId="3" fillId="15" borderId="0" xfId="2" quotePrefix="1" applyNumberFormat="1" applyFont="1" applyFill="1" applyAlignment="1">
      <alignment horizontal="right" vertical="center"/>
    </xf>
    <xf numFmtId="9" fontId="3" fillId="15" borderId="0" xfId="2" applyFont="1" applyFill="1" applyAlignment="1">
      <alignment horizontal="right" vertical="center"/>
    </xf>
    <xf numFmtId="0" fontId="3" fillId="0" borderId="0" xfId="0" applyFont="1" applyAlignment="1">
      <alignment horizontal="right" vertical="center"/>
    </xf>
    <xf numFmtId="165" fontId="3" fillId="0" borderId="0" xfId="0" applyNumberFormat="1" applyFont="1" applyAlignment="1">
      <alignment horizontal="right" vertical="center"/>
    </xf>
    <xf numFmtId="9" fontId="3" fillId="0" borderId="0" xfId="2" applyFont="1" applyAlignment="1">
      <alignment horizontal="right" vertical="center"/>
    </xf>
    <xf numFmtId="10" fontId="3" fillId="0" borderId="0" xfId="2" quotePrefix="1" applyNumberFormat="1" applyFont="1" applyAlignment="1">
      <alignment horizontal="right" vertical="center"/>
    </xf>
    <xf numFmtId="0" fontId="8" fillId="0" borderId="0" xfId="0" applyFont="1" applyAlignment="1">
      <alignment horizontal="right" vertical="center"/>
    </xf>
    <xf numFmtId="43" fontId="3" fillId="0" borderId="0" xfId="1" applyFont="1" applyAlignment="1">
      <alignment horizontal="right" vertical="center"/>
    </xf>
    <xf numFmtId="43" fontId="3" fillId="15" borderId="0" xfId="1" applyFont="1" applyFill="1" applyAlignment="1">
      <alignment horizontal="right" vertical="center"/>
    </xf>
    <xf numFmtId="165" fontId="3" fillId="0" borderId="0" xfId="0" quotePrefix="1" applyNumberFormat="1" applyFont="1" applyAlignment="1">
      <alignment horizontal="right" vertical="center"/>
    </xf>
    <xf numFmtId="165" fontId="3" fillId="15" borderId="0" xfId="0" quotePrefix="1" applyNumberFormat="1" applyFont="1" applyFill="1" applyAlignment="1">
      <alignment horizontal="right" vertical="center"/>
    </xf>
    <xf numFmtId="0" fontId="3" fillId="0" borderId="34" xfId="0" applyFont="1" applyBorder="1"/>
    <xf numFmtId="0" fontId="3" fillId="0" borderId="31" xfId="0" applyFont="1" applyBorder="1"/>
    <xf numFmtId="0" fontId="3" fillId="0" borderId="31" xfId="0" applyFont="1" applyBorder="1" applyAlignment="1">
      <alignment vertical="center"/>
    </xf>
    <xf numFmtId="10" fontId="3" fillId="0" borderId="0" xfId="2" applyNumberFormat="1" applyFont="1" applyAlignment="1">
      <alignment horizontal="right" vertical="center"/>
    </xf>
    <xf numFmtId="10" fontId="3" fillId="15" borderId="0" xfId="2" applyNumberFormat="1" applyFont="1" applyFill="1" applyAlignment="1">
      <alignment horizontal="right" vertical="center"/>
    </xf>
    <xf numFmtId="0" fontId="3" fillId="0" borderId="31" xfId="0" applyFont="1" applyBorder="1" applyAlignment="1">
      <alignment wrapText="1"/>
    </xf>
    <xf numFmtId="0" fontId="3" fillId="0" borderId="32" xfId="0" applyFont="1" applyBorder="1"/>
    <xf numFmtId="0" fontId="3" fillId="0" borderId="33" xfId="0" applyFont="1" applyBorder="1" applyAlignment="1">
      <alignment wrapText="1"/>
    </xf>
    <xf numFmtId="0" fontId="3" fillId="0" borderId="34" xfId="0" applyFont="1" applyBorder="1" applyAlignment="1">
      <alignment wrapText="1"/>
    </xf>
    <xf numFmtId="10" fontId="0" fillId="0" borderId="0" xfId="0" applyNumberFormat="1"/>
    <xf numFmtId="40" fontId="0" fillId="0" borderId="0" xfId="0" applyNumberFormat="1"/>
    <xf numFmtId="9" fontId="0" fillId="10" borderId="0" xfId="2" applyFont="1" applyFill="1" applyBorder="1"/>
    <xf numFmtId="40" fontId="29" fillId="0" borderId="0" xfId="0" applyNumberFormat="1" applyFont="1"/>
    <xf numFmtId="176" fontId="5" fillId="0" borderId="25" xfId="0" applyNumberFormat="1" applyFont="1" applyBorder="1" applyAlignment="1">
      <alignment horizontal="center"/>
    </xf>
    <xf numFmtId="0" fontId="5" fillId="15" borderId="0" xfId="5" applyFont="1" applyFill="1"/>
    <xf numFmtId="0" fontId="5" fillId="0" borderId="0" xfId="5" applyFont="1"/>
    <xf numFmtId="0" fontId="45" fillId="15" borderId="0" xfId="5" applyFont="1" applyFill="1"/>
    <xf numFmtId="0" fontId="46" fillId="15" borderId="0" xfId="6" applyFont="1" applyFill="1" applyAlignment="1" applyProtection="1"/>
    <xf numFmtId="0" fontId="47" fillId="15" borderId="0" xfId="5" applyFont="1" applyFill="1"/>
    <xf numFmtId="0" fontId="48" fillId="0" borderId="0" xfId="5" applyFont="1"/>
    <xf numFmtId="0" fontId="50" fillId="0" borderId="0" xfId="7" applyFont="1" applyAlignment="1" applyProtection="1"/>
    <xf numFmtId="0" fontId="4" fillId="7" borderId="0" xfId="5" applyFont="1" applyFill="1"/>
    <xf numFmtId="0" fontId="5" fillId="7" borderId="0" xfId="5" applyFont="1" applyFill="1"/>
    <xf numFmtId="0" fontId="6" fillId="7" borderId="0" xfId="5" applyFont="1" applyFill="1"/>
    <xf numFmtId="0" fontId="44" fillId="7" borderId="0" xfId="6" applyFont="1" applyFill="1" applyAlignment="1" applyProtection="1"/>
    <xf numFmtId="2" fontId="3" fillId="0" borderId="0" xfId="2" applyNumberFormat="1" applyFont="1" applyAlignment="1">
      <alignment horizontal="right" vertical="center"/>
    </xf>
    <xf numFmtId="2" fontId="3" fillId="15" borderId="0" xfId="2" applyNumberFormat="1" applyFont="1" applyFill="1" applyAlignment="1">
      <alignment horizontal="right" vertical="center"/>
    </xf>
    <xf numFmtId="0" fontId="3" fillId="5" borderId="26" xfId="0" applyFont="1" applyFill="1" applyBorder="1" applyAlignment="1">
      <alignment horizontal="center" vertical="center"/>
    </xf>
    <xf numFmtId="0" fontId="7" fillId="5" borderId="29" xfId="0" applyFont="1" applyFill="1" applyBorder="1" applyAlignment="1">
      <alignment horizontal="center" vertical="center" wrapText="1"/>
    </xf>
    <xf numFmtId="0" fontId="7" fillId="5" borderId="27" xfId="0" applyFont="1" applyFill="1" applyBorder="1" applyAlignment="1">
      <alignment horizontal="center" vertical="center" wrapText="1"/>
    </xf>
    <xf numFmtId="0" fontId="5" fillId="5" borderId="29" xfId="0" applyFont="1" applyFill="1" applyBorder="1" applyAlignment="1">
      <alignment horizontal="left" vertical="center" wrapText="1"/>
    </xf>
    <xf numFmtId="0" fontId="5" fillId="5" borderId="27" xfId="0" applyFont="1" applyFill="1" applyBorder="1" applyAlignment="1">
      <alignment horizontal="left" vertical="center" wrapText="1"/>
    </xf>
    <xf numFmtId="0" fontId="5" fillId="5" borderId="28" xfId="0" applyFont="1" applyFill="1" applyBorder="1" applyAlignment="1">
      <alignment horizontal="left" vertical="center" wrapText="1"/>
    </xf>
    <xf numFmtId="0" fontId="7" fillId="0" borderId="28" xfId="0" applyFont="1" applyBorder="1" applyAlignment="1">
      <alignment horizontal="center" vertical="center" wrapText="1"/>
    </xf>
    <xf numFmtId="0" fontId="7" fillId="0" borderId="29" xfId="0" applyFont="1" applyBorder="1" applyAlignment="1">
      <alignment horizontal="center" vertical="center" wrapText="1"/>
    </xf>
    <xf numFmtId="0" fontId="7" fillId="0" borderId="27" xfId="0" applyFont="1" applyBorder="1" applyAlignment="1">
      <alignment horizontal="center" vertical="center" wrapText="1"/>
    </xf>
    <xf numFmtId="0" fontId="5" fillId="0" borderId="35" xfId="0" applyFont="1" applyBorder="1" applyAlignment="1">
      <alignment horizontal="left" vertical="center" wrapText="1"/>
    </xf>
    <xf numFmtId="0" fontId="5" fillId="0" borderId="26" xfId="0" applyFont="1" applyBorder="1" applyAlignment="1">
      <alignment horizontal="left" vertical="center" wrapText="1"/>
    </xf>
    <xf numFmtId="0" fontId="5" fillId="0" borderId="30" xfId="0" applyFont="1" applyBorder="1" applyAlignment="1">
      <alignment horizontal="left" vertical="center" wrapText="1"/>
    </xf>
    <xf numFmtId="0" fontId="7" fillId="5" borderId="28" xfId="0" applyFont="1" applyFill="1" applyBorder="1" applyAlignment="1">
      <alignment horizontal="center" vertical="center" wrapText="1"/>
    </xf>
    <xf numFmtId="0" fontId="6" fillId="2" borderId="5" xfId="0" applyFont="1" applyFill="1" applyBorder="1" applyAlignment="1">
      <alignment horizontal="center"/>
    </xf>
    <xf numFmtId="0" fontId="6" fillId="2" borderId="0" xfId="0" applyFont="1" applyFill="1" applyAlignment="1">
      <alignment horizontal="center"/>
    </xf>
    <xf numFmtId="0" fontId="8" fillId="0" borderId="0" xfId="0" applyFont="1" applyAlignment="1">
      <alignment horizontal="right" vertical="center" textRotation="180"/>
    </xf>
    <xf numFmtId="0" fontId="6" fillId="3" borderId="0" xfId="0" applyFont="1" applyFill="1" applyAlignment="1">
      <alignment horizontal="center"/>
    </xf>
    <xf numFmtId="0" fontId="6" fillId="3" borderId="4" xfId="0" applyFont="1" applyFill="1" applyBorder="1" applyAlignment="1">
      <alignment horizontal="center"/>
    </xf>
    <xf numFmtId="170" fontId="8" fillId="0" borderId="16" xfId="0" applyNumberFormat="1" applyFont="1" applyBorder="1" applyAlignment="1">
      <alignment horizontal="center"/>
    </xf>
    <xf numFmtId="0" fontId="9" fillId="2" borderId="0" xfId="0" applyFont="1" applyFill="1" applyAlignment="1">
      <alignment horizontal="center"/>
    </xf>
    <xf numFmtId="0" fontId="8" fillId="0" borderId="26" xfId="0" applyFont="1" applyBorder="1" applyAlignment="1">
      <alignment horizontal="center" vertical="center" wrapText="1"/>
    </xf>
    <xf numFmtId="0" fontId="8" fillId="0" borderId="30" xfId="0" applyFont="1" applyBorder="1" applyAlignment="1">
      <alignment horizontal="center" vertical="center" wrapText="1"/>
    </xf>
    <xf numFmtId="0" fontId="22" fillId="15" borderId="0" xfId="4" applyFont="1" applyFill="1" applyBorder="1" applyAlignment="1">
      <alignment horizontal="center" vertical="center"/>
    </xf>
    <xf numFmtId="0" fontId="22" fillId="15" borderId="1" xfId="4" applyFont="1" applyFill="1" applyBorder="1" applyAlignment="1">
      <alignment horizontal="center" vertical="center"/>
    </xf>
    <xf numFmtId="0" fontId="42" fillId="7" borderId="25" xfId="0" applyFont="1" applyFill="1" applyBorder="1" applyAlignment="1">
      <alignment horizontal="left" vertical="center" wrapText="1"/>
    </xf>
    <xf numFmtId="0" fontId="25" fillId="7" borderId="0" xfId="0" applyFont="1" applyFill="1" applyAlignment="1">
      <alignment horizontal="center"/>
    </xf>
  </cellXfs>
  <cellStyles count="8">
    <cellStyle name="20% - Accent1" xfId="4" builtinId="30"/>
    <cellStyle name="Comma" xfId="1" builtinId="3"/>
    <cellStyle name="Hyperlink" xfId="3" builtinId="8"/>
    <cellStyle name="Hyperlink 2" xfId="6" xr:uid="{780F1F33-D1BD-49FE-8CF2-873FBB4D91DC}"/>
    <cellStyle name="Hyperlink 3" xfId="7" xr:uid="{3A4F21D9-B7C2-4806-982E-16C3656F37E8}"/>
    <cellStyle name="Normal" xfId="0" builtinId="0"/>
    <cellStyle name="Normal 8" xfId="5" xr:uid="{245EAC11-D2ED-4A63-99A6-EF34DD6B71CD}"/>
    <cellStyle name="Percent" xfId="2" builtinId="5"/>
  </cellStyles>
  <dxfs count="12">
    <dxf>
      <numFmt numFmtId="13" formatCode="0%"/>
      <fill>
        <patternFill patternType="solid">
          <fgColor indexed="64"/>
          <bgColor theme="0"/>
        </patternFill>
      </fill>
    </dxf>
    <dxf>
      <numFmt numFmtId="175" formatCode="[$₹-4009]\ #,##0;[Red][$₹-4009]\ \-#,##0"/>
      <fill>
        <patternFill patternType="solid">
          <fgColor indexed="64"/>
          <bgColor theme="0" tint="-0.14999847407452621"/>
        </patternFill>
      </fill>
    </dxf>
    <dxf>
      <numFmt numFmtId="175" formatCode="[$₹-4009]\ #,##0;[Red][$₹-4009]\ \-#,##0"/>
      <fill>
        <patternFill patternType="solid">
          <fgColor indexed="64"/>
          <bgColor theme="0" tint="-0.14999847407452621"/>
        </patternFill>
      </fill>
    </dxf>
    <dxf>
      <numFmt numFmtId="175" formatCode="[$₹-4009]\ #,##0;[Red][$₹-4009]\ \-#,##0"/>
      <fill>
        <patternFill patternType="solid">
          <fgColor indexed="64"/>
          <bgColor theme="0" tint="-0.14999847407452621"/>
        </patternFill>
      </fill>
    </dxf>
    <dxf>
      <numFmt numFmtId="175" formatCode="[$₹-4009]\ #,##0;[Red][$₹-4009]\ \-#,##0"/>
      <fill>
        <patternFill patternType="solid">
          <fgColor indexed="64"/>
          <bgColor theme="0" tint="-0.14999847407452621"/>
        </patternFill>
      </fill>
    </dxf>
    <dxf>
      <numFmt numFmtId="175" formatCode="[$₹-4009]\ #,##0;[Red][$₹-4009]\ \-#,##0"/>
      <fill>
        <patternFill patternType="solid">
          <fgColor indexed="64"/>
          <bgColor theme="0" tint="-0.14999847407452621"/>
        </patternFill>
      </fill>
    </dxf>
    <dxf>
      <numFmt numFmtId="175" formatCode="[$₹-4009]\ #,##0;[Red][$₹-4009]\ \-#,##0"/>
      <fill>
        <patternFill patternType="solid">
          <fgColor indexed="64"/>
          <bgColor theme="0" tint="-0.14999847407452621"/>
        </patternFill>
      </fill>
    </dxf>
    <dxf>
      <numFmt numFmtId="175" formatCode="[$₹-4009]\ #,##0;[Red][$₹-4009]\ \-#,##0"/>
      <fill>
        <patternFill patternType="solid">
          <fgColor indexed="64"/>
          <bgColor theme="0"/>
        </patternFill>
      </fill>
    </dxf>
    <dxf>
      <fill>
        <patternFill patternType="solid">
          <fgColor indexed="64"/>
          <bgColor theme="0"/>
        </patternFill>
      </fill>
    </dxf>
    <dxf>
      <fill>
        <patternFill patternType="solid">
          <fgColor indexed="64"/>
          <bgColor theme="0"/>
        </patternFill>
      </fill>
    </dxf>
    <dxf>
      <fill>
        <patternFill patternType="solid">
          <fgColor indexed="64"/>
          <bgColor theme="0"/>
        </patternFill>
      </fill>
    </dxf>
    <dxf>
      <fill>
        <patternFill patternType="solid">
          <fgColor indexed="64"/>
          <bgColor theme="0"/>
        </patternFill>
      </fill>
    </dxf>
  </dxfs>
  <tableStyles count="0" defaultTableStyle="TableStyleMedium2" defaultPivotStyle="PivotStyleLight16"/>
  <colors>
    <mruColors>
      <color rgb="FFF7F7F7"/>
    </mruColors>
  </colors>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8" Type="http://schemas.openxmlformats.org/officeDocument/2006/relationships/worksheet" Target="worksheets/sheet8.xml"/><Relationship Id="rId13" Type="http://schemas.openxmlformats.org/officeDocument/2006/relationships/theme" Target="theme/theme1.xml"/><Relationship Id="rId3" Type="http://schemas.openxmlformats.org/officeDocument/2006/relationships/worksheet" Target="worksheets/sheet3.xml"/><Relationship Id="rId7" Type="http://schemas.openxmlformats.org/officeDocument/2006/relationships/worksheet" Target="worksheets/sheet7.xml"/><Relationship Id="rId12" Type="http://schemas.openxmlformats.org/officeDocument/2006/relationships/worksheet" Target="worksheets/sheet12.xml"/><Relationship Id="rId17" Type="http://schemas.openxmlformats.org/officeDocument/2006/relationships/calcChain" Target="calcChain.xml"/><Relationship Id="rId2" Type="http://schemas.openxmlformats.org/officeDocument/2006/relationships/worksheet" Target="worksheets/sheet2.xml"/><Relationship Id="rId16" Type="http://schemas.openxmlformats.org/officeDocument/2006/relationships/sheetMetadata" Target="metadata.xml"/><Relationship Id="rId1" Type="http://schemas.openxmlformats.org/officeDocument/2006/relationships/worksheet" Target="worksheets/sheet1.xml"/><Relationship Id="rId6" Type="http://schemas.openxmlformats.org/officeDocument/2006/relationships/worksheet" Target="worksheets/sheet6.xml"/><Relationship Id="rId11" Type="http://schemas.openxmlformats.org/officeDocument/2006/relationships/worksheet" Target="worksheets/sheet11.xml"/><Relationship Id="rId5" Type="http://schemas.openxmlformats.org/officeDocument/2006/relationships/worksheet" Target="worksheets/sheet5.xml"/><Relationship Id="rId15" Type="http://schemas.openxmlformats.org/officeDocument/2006/relationships/sharedStrings" Target="sharedStrings.xml"/><Relationship Id="rId10" Type="http://schemas.openxmlformats.org/officeDocument/2006/relationships/worksheet" Target="worksheets/sheet10.xml"/><Relationship Id="rId4" Type="http://schemas.openxmlformats.org/officeDocument/2006/relationships/worksheet" Target="worksheets/sheet4.xml"/><Relationship Id="rId9" Type="http://schemas.openxmlformats.org/officeDocument/2006/relationships/worksheet" Target="worksheets/sheet9.xml"/><Relationship Id="rId14" Type="http://schemas.openxmlformats.org/officeDocument/2006/relationships/styles" Target="styles.xml"/></Relationships>
</file>

<file path=xl/charts/_rels/chart1.xml.rels><?xml version="1.0" encoding="UTF-8" standalone="yes"?>
<Relationships xmlns="http://schemas.openxmlformats.org/package/2006/relationships"><Relationship Id="rId3" Type="http://schemas.openxmlformats.org/officeDocument/2006/relationships/chartUserShapes" Target="../drawings/drawing4.xml"/><Relationship Id="rId2" Type="http://schemas.microsoft.com/office/2011/relationships/chartColorStyle" Target="colors1.xml"/><Relationship Id="rId1" Type="http://schemas.microsoft.com/office/2011/relationships/chartStyle" Target="style1.xml"/></Relationships>
</file>

<file path=xl/charts/chart1.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chart>
    <c:title>
      <c:tx>
        <c:rich>
          <a:bodyPr rot="0" spcFirstLastPara="1" vertOverflow="ellipsis" vert="horz" wrap="square" anchor="ctr" anchorCtr="1"/>
          <a:lstStyle/>
          <a:p>
            <a:pPr>
              <a:defRPr sz="1400" b="1" i="0" u="none" strike="noStrike" kern="1200" spc="0" baseline="0">
                <a:solidFill>
                  <a:schemeClr val="tx1">
                    <a:lumMod val="65000"/>
                    <a:lumOff val="35000"/>
                  </a:schemeClr>
                </a:solidFill>
                <a:latin typeface="+mn-lt"/>
                <a:ea typeface="+mn-ea"/>
                <a:cs typeface="+mn-cs"/>
              </a:defRPr>
            </a:pPr>
            <a:r>
              <a:rPr lang="en-US" b="1"/>
              <a:t>Valuation Summary</a:t>
            </a:r>
          </a:p>
        </c:rich>
      </c:tx>
      <c:overlay val="0"/>
      <c:spPr>
        <a:noFill/>
        <a:ln>
          <a:noFill/>
        </a:ln>
        <a:effectLst/>
      </c:spPr>
      <c:txPr>
        <a:bodyPr rot="0" spcFirstLastPara="1" vertOverflow="ellipsis" vert="horz" wrap="square" anchor="ctr" anchorCtr="1"/>
        <a:lstStyle/>
        <a:p>
          <a:pPr>
            <a:defRPr sz="1400" b="1" i="0" u="none" strike="noStrike" kern="1200" spc="0" baseline="0">
              <a:solidFill>
                <a:schemeClr val="tx1">
                  <a:lumMod val="65000"/>
                  <a:lumOff val="35000"/>
                </a:schemeClr>
              </a:solidFill>
              <a:latin typeface="+mn-lt"/>
              <a:ea typeface="+mn-ea"/>
              <a:cs typeface="+mn-cs"/>
            </a:defRPr>
          </a:pPr>
          <a:endParaRPr lang="en-US"/>
        </a:p>
      </c:txPr>
    </c:title>
    <c:autoTitleDeleted val="0"/>
    <c:plotArea>
      <c:layout/>
      <c:stockChart>
        <c:ser>
          <c:idx val="0"/>
          <c:order val="0"/>
          <c:spPr>
            <a:ln w="19050" cap="rnd">
              <a:noFill/>
              <a:round/>
            </a:ln>
            <a:effectLst/>
          </c:spPr>
          <c:marker>
            <c:symbol val="none"/>
          </c:marker>
          <c:dLbls>
            <c:delete val="1"/>
          </c:dLbls>
          <c:cat>
            <c:strRef>
              <c:f>Summary!$H$6:$K$6</c:f>
              <c:strCache>
                <c:ptCount val="4"/>
                <c:pt idx="0">
                  <c:v>Comps</c:v>
                </c:pt>
                <c:pt idx="1">
                  <c:v>DCF</c:v>
                </c:pt>
                <c:pt idx="2">
                  <c:v> hi/lo</c:v>
                </c:pt>
                <c:pt idx="3">
                  <c:v>Consenses</c:v>
                </c:pt>
              </c:strCache>
            </c:strRef>
          </c:cat>
          <c:val>
            <c:numRef>
              <c:f>Summary!$H$7:$K$7</c:f>
              <c:numCache>
                <c:formatCode>#,##0;\(#,##0\);"-"</c:formatCode>
                <c:ptCount val="4"/>
                <c:pt idx="0">
                  <c:v>1569.431024630627</c:v>
                </c:pt>
                <c:pt idx="1">
                  <c:v>975</c:v>
                </c:pt>
                <c:pt idx="2">
                  <c:v>3594.55</c:v>
                </c:pt>
                <c:pt idx="3">
                  <c:v>1600</c:v>
                </c:pt>
              </c:numCache>
            </c:numRef>
          </c:val>
          <c:smooth val="0"/>
          <c:extLst>
            <c:ext xmlns:c16="http://schemas.microsoft.com/office/drawing/2014/chart" uri="{C3380CC4-5D6E-409C-BE32-E72D297353CC}">
              <c16:uniqueId val="{00000000-16F6-4297-9BB2-12F50F082586}"/>
            </c:ext>
          </c:extLst>
        </c:ser>
        <c:ser>
          <c:idx val="1"/>
          <c:order val="1"/>
          <c:spPr>
            <a:ln w="19050" cap="rnd">
              <a:noFill/>
              <a:round/>
            </a:ln>
            <a:effectLst/>
          </c:spPr>
          <c:marker>
            <c:symbol val="none"/>
          </c:marker>
          <c:dLbls>
            <c:numFmt formatCode="[$₹-4009]\ #,##0" sourceLinked="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dLblPos val="t"/>
            <c:showLegendKey val="0"/>
            <c:showVal val="1"/>
            <c:showCatName val="0"/>
            <c:showSerName val="0"/>
            <c:showPercent val="0"/>
            <c:showBubbleSize val="0"/>
            <c:showLeaderLines val="0"/>
            <c:extLst>
              <c:ext xmlns:c15="http://schemas.microsoft.com/office/drawing/2012/chart" uri="{CE6537A1-D6FC-4f65-9D91-7224C49458BB}">
                <c15:showLeaderLines val="1"/>
                <c15:leaderLines>
                  <c:spPr>
                    <a:ln w="9525" cap="flat" cmpd="sng" algn="ctr">
                      <a:solidFill>
                        <a:schemeClr val="tx1">
                          <a:lumMod val="35000"/>
                          <a:lumOff val="65000"/>
                        </a:schemeClr>
                      </a:solidFill>
                      <a:round/>
                    </a:ln>
                    <a:effectLst/>
                  </c:spPr>
                </c15:leaderLines>
              </c:ext>
            </c:extLst>
          </c:dLbls>
          <c:cat>
            <c:strRef>
              <c:f>Summary!$H$6:$K$6</c:f>
              <c:strCache>
                <c:ptCount val="4"/>
                <c:pt idx="0">
                  <c:v>Comps</c:v>
                </c:pt>
                <c:pt idx="1">
                  <c:v>DCF</c:v>
                </c:pt>
                <c:pt idx="2">
                  <c:v> hi/lo</c:v>
                </c:pt>
                <c:pt idx="3">
                  <c:v>Consenses</c:v>
                </c:pt>
              </c:strCache>
            </c:strRef>
          </c:cat>
          <c:val>
            <c:numRef>
              <c:f>Summary!$H$8:$K$8</c:f>
              <c:numCache>
                <c:formatCode>#,##0;\(#,##0\);"-"</c:formatCode>
                <c:ptCount val="4"/>
                <c:pt idx="0">
                  <c:v>1569.431024630627</c:v>
                </c:pt>
                <c:pt idx="1">
                  <c:v>975</c:v>
                </c:pt>
                <c:pt idx="2">
                  <c:v>3594.55</c:v>
                </c:pt>
                <c:pt idx="3">
                  <c:v>1600</c:v>
                </c:pt>
              </c:numCache>
            </c:numRef>
          </c:val>
          <c:smooth val="0"/>
          <c:extLst>
            <c:ext xmlns:c16="http://schemas.microsoft.com/office/drawing/2014/chart" uri="{C3380CC4-5D6E-409C-BE32-E72D297353CC}">
              <c16:uniqueId val="{00000001-16F6-4297-9BB2-12F50F082586}"/>
            </c:ext>
          </c:extLst>
        </c:ser>
        <c:ser>
          <c:idx val="2"/>
          <c:order val="2"/>
          <c:spPr>
            <a:ln w="19050" cap="rnd">
              <a:noFill/>
              <a:round/>
            </a:ln>
            <a:effectLst/>
          </c:spPr>
          <c:marker>
            <c:symbol val="none"/>
          </c:marker>
          <c:dLbls>
            <c:delete val="1"/>
          </c:dLbls>
          <c:cat>
            <c:strRef>
              <c:f>Summary!$H$6:$K$6</c:f>
              <c:strCache>
                <c:ptCount val="4"/>
                <c:pt idx="0">
                  <c:v>Comps</c:v>
                </c:pt>
                <c:pt idx="1">
                  <c:v>DCF</c:v>
                </c:pt>
                <c:pt idx="2">
                  <c:v> hi/lo</c:v>
                </c:pt>
                <c:pt idx="3">
                  <c:v>Consenses</c:v>
                </c:pt>
              </c:strCache>
            </c:strRef>
          </c:cat>
          <c:val>
            <c:numRef>
              <c:f>Summary!$H$9:$K$9</c:f>
              <c:numCache>
                <c:formatCode>#,##0;\(#,##0\);"-"</c:formatCode>
                <c:ptCount val="4"/>
                <c:pt idx="0">
                  <c:v>1310.4661896318416</c:v>
                </c:pt>
                <c:pt idx="1">
                  <c:v>773</c:v>
                </c:pt>
                <c:pt idx="2">
                  <c:v>1863.95</c:v>
                </c:pt>
                <c:pt idx="3">
                  <c:v>1200</c:v>
                </c:pt>
              </c:numCache>
            </c:numRef>
          </c:val>
          <c:smooth val="0"/>
          <c:extLst>
            <c:ext xmlns:c16="http://schemas.microsoft.com/office/drawing/2014/chart" uri="{C3380CC4-5D6E-409C-BE32-E72D297353CC}">
              <c16:uniqueId val="{00000002-16F6-4297-9BB2-12F50F082586}"/>
            </c:ext>
          </c:extLst>
        </c:ser>
        <c:ser>
          <c:idx val="3"/>
          <c:order val="3"/>
          <c:spPr>
            <a:ln w="19050" cap="rnd">
              <a:noFill/>
              <a:round/>
            </a:ln>
            <a:effectLst/>
          </c:spPr>
          <c:marker>
            <c:symbol val="none"/>
          </c:marker>
          <c:dLbls>
            <c:numFmt formatCode="[$₹-4009]\ #,##0" sourceLinked="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dLblPos val="b"/>
            <c:showLegendKey val="0"/>
            <c:showVal val="1"/>
            <c:showCatName val="0"/>
            <c:showSerName val="0"/>
            <c:showPercent val="0"/>
            <c:showBubbleSize val="0"/>
            <c:showLeaderLines val="0"/>
            <c:extLst>
              <c:ext xmlns:c15="http://schemas.microsoft.com/office/drawing/2012/chart" uri="{CE6537A1-D6FC-4f65-9D91-7224C49458BB}">
                <c15:showLeaderLines val="1"/>
                <c15:leaderLines>
                  <c:spPr>
                    <a:ln w="9525" cap="flat" cmpd="sng" algn="ctr">
                      <a:solidFill>
                        <a:schemeClr val="tx1">
                          <a:lumMod val="35000"/>
                          <a:lumOff val="65000"/>
                        </a:schemeClr>
                      </a:solidFill>
                      <a:round/>
                    </a:ln>
                    <a:effectLst/>
                  </c:spPr>
                </c15:leaderLines>
              </c:ext>
            </c:extLst>
          </c:dLbls>
          <c:cat>
            <c:strRef>
              <c:f>Summary!$H$6:$K$6</c:f>
              <c:strCache>
                <c:ptCount val="4"/>
                <c:pt idx="0">
                  <c:v>Comps</c:v>
                </c:pt>
                <c:pt idx="1">
                  <c:v>DCF</c:v>
                </c:pt>
                <c:pt idx="2">
                  <c:v> hi/lo</c:v>
                </c:pt>
                <c:pt idx="3">
                  <c:v>Consenses</c:v>
                </c:pt>
              </c:strCache>
            </c:strRef>
          </c:cat>
          <c:val>
            <c:numRef>
              <c:f>Summary!$H$10:$K$10</c:f>
              <c:numCache>
                <c:formatCode>#,##0;\(#,##0\);"-"</c:formatCode>
                <c:ptCount val="4"/>
                <c:pt idx="0">
                  <c:v>1310.4661896318416</c:v>
                </c:pt>
                <c:pt idx="1">
                  <c:v>773</c:v>
                </c:pt>
                <c:pt idx="2">
                  <c:v>1863.95</c:v>
                </c:pt>
                <c:pt idx="3">
                  <c:v>1200</c:v>
                </c:pt>
              </c:numCache>
            </c:numRef>
          </c:val>
          <c:smooth val="0"/>
          <c:extLst>
            <c:ext xmlns:c16="http://schemas.microsoft.com/office/drawing/2014/chart" uri="{C3380CC4-5D6E-409C-BE32-E72D297353CC}">
              <c16:uniqueId val="{00000003-16F6-4297-9BB2-12F50F082586}"/>
            </c:ext>
          </c:extLst>
        </c:ser>
        <c:dLbls>
          <c:showLegendKey val="0"/>
          <c:showVal val="1"/>
          <c:showCatName val="0"/>
          <c:showSerName val="0"/>
          <c:showPercent val="0"/>
          <c:showBubbleSize val="0"/>
        </c:dLbls>
        <c:hiLowLines>
          <c:spPr>
            <a:ln w="9525" cap="flat" cmpd="sng" algn="ctr">
              <a:solidFill>
                <a:schemeClr val="tx1">
                  <a:lumMod val="75000"/>
                  <a:lumOff val="25000"/>
                </a:schemeClr>
              </a:solidFill>
              <a:round/>
            </a:ln>
            <a:effectLst/>
          </c:spPr>
        </c:hiLowLines>
        <c:upDownBars>
          <c:gapWidth val="50"/>
          <c:upBars>
            <c:spPr>
              <a:solidFill>
                <a:schemeClr val="lt1"/>
              </a:solidFill>
              <a:ln w="9525" cap="flat" cmpd="sng" algn="ctr">
                <a:solidFill>
                  <a:schemeClr val="tx1">
                    <a:lumMod val="65000"/>
                    <a:lumOff val="35000"/>
                  </a:schemeClr>
                </a:solidFill>
                <a:round/>
              </a:ln>
              <a:effectLst/>
            </c:spPr>
          </c:upBars>
          <c:downBars>
            <c:spPr>
              <a:solidFill>
                <a:schemeClr val="dk1">
                  <a:lumMod val="75000"/>
                  <a:lumOff val="25000"/>
                </a:schemeClr>
              </a:solidFill>
              <a:ln w="9525" cap="flat" cmpd="sng" algn="ctr">
                <a:solidFill>
                  <a:schemeClr val="tx1">
                    <a:lumMod val="65000"/>
                    <a:lumOff val="35000"/>
                  </a:schemeClr>
                </a:solidFill>
                <a:round/>
              </a:ln>
              <a:effectLst/>
            </c:spPr>
          </c:downBars>
        </c:upDownBars>
        <c:axId val="609759423"/>
        <c:axId val="609770463"/>
      </c:stockChart>
      <c:catAx>
        <c:axId val="609759423"/>
        <c:scaling>
          <c:orientation val="minMax"/>
        </c:scaling>
        <c:delete val="0"/>
        <c:axPos val="b"/>
        <c:numFmt formatCode="General" sourceLinked="1"/>
        <c:majorTickMark val="none"/>
        <c:minorTickMark val="none"/>
        <c:tickLblPos val="nextTo"/>
        <c:spPr>
          <a:noFill/>
          <a:ln w="9525" cap="flat" cmpd="sng" algn="ctr">
            <a:solidFill>
              <a:schemeClr val="tx1">
                <a:lumMod val="15000"/>
                <a:lumOff val="85000"/>
              </a:schemeClr>
            </a:solidFill>
            <a:round/>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609770463"/>
        <c:crosses val="autoZero"/>
        <c:auto val="1"/>
        <c:lblAlgn val="ctr"/>
        <c:lblOffset val="100"/>
        <c:noMultiLvlLbl val="0"/>
      </c:catAx>
      <c:valAx>
        <c:axId val="609770463"/>
        <c:scaling>
          <c:orientation val="minMax"/>
          <c:min val="850"/>
        </c:scaling>
        <c:delete val="0"/>
        <c:axPos val="l"/>
        <c:numFmt formatCode="#,##0;\(#,##0\);&quot;-&quot;" sourceLinked="1"/>
        <c:majorTickMark val="none"/>
        <c:minorTickMark val="none"/>
        <c:tickLblPos val="nextTo"/>
        <c:spPr>
          <a:noFill/>
          <a:ln>
            <a:noFill/>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609759423"/>
        <c:crosses val="autoZero"/>
        <c:crossBetween val="between"/>
      </c:valAx>
      <c:spPr>
        <a:noFill/>
        <a:ln>
          <a:noFill/>
        </a:ln>
        <a:effectLst/>
      </c:spPr>
    </c:plotArea>
    <c:plotVisOnly val="1"/>
    <c:dispBlanksAs val="gap"/>
    <c:showDLblsOverMax val="0"/>
    <c:extLst>
      <c:ext xmlns:c16r3="http://schemas.microsoft.com/office/drawing/2017/03/chart" uri="{56B9EC1D-385E-4148-901F-78D8002777C0}">
        <c16r3:dataDisplayOptions16>
          <c16r3:dispNaAsBlank val="1"/>
        </c16r3:dataDisplayOptions16>
      </c:ext>
    </c:extLst>
  </c:chart>
  <c:spPr>
    <a:solidFill>
      <a:schemeClr val="bg1"/>
    </a:solidFill>
    <a:ln w="9525" cap="flat" cmpd="sng" algn="ctr">
      <a:solidFill>
        <a:schemeClr val="tx1">
          <a:lumMod val="15000"/>
          <a:lumOff val="85000"/>
        </a:schemeClr>
      </a:solidFill>
      <a:round/>
    </a:ln>
    <a:effectLst/>
  </c:spPr>
  <c:txPr>
    <a:bodyPr/>
    <a:lstStyle/>
    <a:p>
      <a:pPr>
        <a:defRPr/>
      </a:pPr>
      <a:endParaRPr lang="en-US"/>
    </a:p>
  </c:txPr>
  <c:printSettings>
    <c:headerFooter/>
    <c:pageMargins b="0.75" l="0.7" r="0.7" t="0.75" header="0.3" footer="0.3"/>
    <c:pageSetup/>
  </c:printSettings>
  <c:userShapes r:id="rId3"/>
</c:chartSpace>
</file>

<file path=xl/charts/colors1.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style1.xml><?xml version="1.0" encoding="utf-8"?>
<cs:chartStyle xmlns:cs="http://schemas.microsoft.com/office/drawing/2012/chartStyle" xmlns:a="http://schemas.openxmlformats.org/drawingml/2006/main" id="322">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10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dataPoint>
  <cs:dataPoint3D>
    <cs:lnRef idx="0"/>
    <cs:fillRef idx="1">
      <cs:styleClr val="auto"/>
    </cs:fillRef>
    <cs:effectRef idx="0"/>
    <cs:fontRef idx="minor">
      <a:schemeClr val="tx1"/>
    </cs:fontRef>
  </cs:dataPoint3D>
  <cs:dataPointLine>
    <cs:lnRef idx="0">
      <cs:styleClr val="auto"/>
    </cs:lnRef>
    <cs:fillRef idx="1"/>
    <cs:effectRef idx="0"/>
    <cs:fontRef idx="minor">
      <a:schemeClr val="tx1"/>
    </cs:fontRef>
    <cs:spPr>
      <a:ln w="28575" cap="rnd">
        <a:solidFill>
          <a:schemeClr val="phClr"/>
        </a:solidFill>
        <a:round/>
      </a:ln>
    </cs:spPr>
  </cs:dataPointLine>
  <cs:dataPointMarker>
    <cs:lnRef idx="0">
      <cs:styleClr val="auto"/>
    </cs:lnRef>
    <cs:fillRef idx="1">
      <cs:styleClr val="auto"/>
    </cs:fillRef>
    <cs:effectRef idx="0"/>
    <cs:fontRef idx="minor">
      <a:schemeClr val="tx1"/>
    </cs:fontRef>
    <cs:spPr>
      <a:ln w="9525">
        <a:solidFill>
          <a:schemeClr val="phClr"/>
        </a:solidFill>
      </a:ln>
    </cs:spPr>
  </cs:dataPointMarker>
  <cs:dataPointMarkerLayout symbol="circle" size="5"/>
  <cs:dataPointWireframe>
    <cs:lnRef idx="0">
      <cs:styleClr val="auto"/>
    </cs:lnRef>
    <cs:fillRef idx="1"/>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tx1"/>
    </cs:fontRef>
    <cs:spPr>
      <a:solidFill>
        <a:schemeClr val="dk1">
          <a:lumMod val="75000"/>
          <a:lumOff val="25000"/>
        </a:schemeClr>
      </a:solidFill>
      <a:ln w="9525" cap="flat" cmpd="sng" algn="ctr">
        <a:solidFill>
          <a:schemeClr val="tx1">
            <a:lumMod val="65000"/>
            <a:lumOff val="35000"/>
          </a:schemeClr>
        </a:solidFill>
        <a:round/>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75000"/>
            <a:lumOff val="25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tx1"/>
    </cs:fontRef>
    <cs:spPr>
      <a:solidFill>
        <a:schemeClr val="lt1"/>
      </a:solidFill>
      <a:ln w="9525" cap="flat" cmpd="sng" algn="ctr">
        <a:solidFill>
          <a:schemeClr val="tx1">
            <a:lumMod val="65000"/>
            <a:lumOff val="35000"/>
          </a:schemeClr>
        </a:solidFill>
        <a:round/>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drawings/_rels/drawing1.xml.rels><?xml version="1.0" encoding="UTF-8" standalone="yes"?>
<Relationships xmlns="http://schemas.openxmlformats.org/package/2006/relationships"><Relationship Id="rId3" Type="http://schemas.openxmlformats.org/officeDocument/2006/relationships/image" Target="../media/image3.png"/><Relationship Id="rId2" Type="http://schemas.openxmlformats.org/officeDocument/2006/relationships/image" Target="../media/image2.png"/><Relationship Id="rId1" Type="http://schemas.openxmlformats.org/officeDocument/2006/relationships/image" Target="../media/image1.png"/><Relationship Id="rId5" Type="http://schemas.openxmlformats.org/officeDocument/2006/relationships/image" Target="../media/image5.png"/><Relationship Id="rId4" Type="http://schemas.openxmlformats.org/officeDocument/2006/relationships/image" Target="../media/image4.png"/></Relationships>
</file>

<file path=xl/drawings/_rels/drawing2.xml.rels><?xml version="1.0" encoding="UTF-8" standalone="yes"?>
<Relationships xmlns="http://schemas.openxmlformats.org/package/2006/relationships"><Relationship Id="rId1" Type="http://schemas.openxmlformats.org/officeDocument/2006/relationships/image" Target="../media/image1.png"/></Relationships>
</file>

<file path=xl/drawings/_rels/drawing3.xml.rels><?xml version="1.0" encoding="UTF-8" standalone="yes"?>
<Relationships xmlns="http://schemas.openxmlformats.org/package/2006/relationships"><Relationship Id="rId1" Type="http://schemas.openxmlformats.org/officeDocument/2006/relationships/chart" Target="../charts/chart1.xml"/></Relationships>
</file>

<file path=xl/drawings/drawing1.xml><?xml version="1.0" encoding="utf-8"?>
<xdr:wsDr xmlns:xdr="http://schemas.openxmlformats.org/drawingml/2006/spreadsheetDrawing" xmlns:a="http://schemas.openxmlformats.org/drawingml/2006/main">
  <xdr:twoCellAnchor editAs="oneCell">
    <xdr:from>
      <xdr:col>0</xdr:col>
      <xdr:colOff>0</xdr:colOff>
      <xdr:row>0</xdr:row>
      <xdr:rowOff>0</xdr:rowOff>
    </xdr:from>
    <xdr:to>
      <xdr:col>1</xdr:col>
      <xdr:colOff>742950</xdr:colOff>
      <xdr:row>6</xdr:row>
      <xdr:rowOff>156542</xdr:rowOff>
    </xdr:to>
    <xdr:pic>
      <xdr:nvPicPr>
        <xdr:cNvPr id="2" name="Picture 1" descr="Thangamayil Jewellery (THANGAMAYL) Live Share Price Today on NSE/BSE, Stock  Analysis and Price Estimates">
          <a:extLst>
            <a:ext uri="{FF2B5EF4-FFF2-40B4-BE49-F238E27FC236}">
              <a16:creationId xmlns:a16="http://schemas.microsoft.com/office/drawing/2014/main" id="{009132B0-5039-A980-5BAE-44A4221310DD}"/>
            </a:ext>
          </a:extLst>
        </xdr:cNvPr>
        <xdr:cNvPicPr>
          <a:picLocks noChangeAspect="1" noChangeArrowheads="1"/>
        </xdr:cNvPicPr>
      </xdr:nvPicPr>
      <xdr:blipFill rotWithShape="1">
        <a:blip xmlns:r="http://schemas.openxmlformats.org/officeDocument/2006/relationships" r:embed="rId1">
          <a:extLst>
            <a:ext uri="{28A0092B-C50C-407E-A947-70E740481C1C}">
              <a14:useLocalDpi xmlns:a14="http://schemas.microsoft.com/office/drawing/2010/main" val="0"/>
            </a:ext>
          </a:extLst>
        </a:blip>
        <a:srcRect l="23697" t="15365" r="22396" b="14844"/>
        <a:stretch>
          <a:fillRect/>
        </a:stretch>
      </xdr:blipFill>
      <xdr:spPr bwMode="auto">
        <a:xfrm>
          <a:off x="0" y="0"/>
          <a:ext cx="1352550" cy="1274142"/>
        </a:xfrm>
        <a:prstGeom prst="rect">
          <a:avLst/>
        </a:prstGeom>
        <a:noFill/>
        <a:extLst>
          <a:ext uri="{909E8E84-426E-40DD-AFC4-6F175D3DCCD1}">
            <a14:hiddenFill xmlns:a14="http://schemas.microsoft.com/office/drawing/2010/main">
              <a:solidFill>
                <a:srgbClr val="FFFFFF"/>
              </a:solidFill>
            </a14:hiddenFill>
          </a:ext>
        </a:extLst>
      </xdr:spPr>
    </xdr:pic>
    <xdr:clientData/>
  </xdr:twoCellAnchor>
  <xdr:twoCellAnchor editAs="oneCell">
    <xdr:from>
      <xdr:col>3</xdr:col>
      <xdr:colOff>69850</xdr:colOff>
      <xdr:row>24</xdr:row>
      <xdr:rowOff>158751</xdr:rowOff>
    </xdr:from>
    <xdr:to>
      <xdr:col>10</xdr:col>
      <xdr:colOff>521098</xdr:colOff>
      <xdr:row>27</xdr:row>
      <xdr:rowOff>91109</xdr:rowOff>
    </xdr:to>
    <xdr:pic>
      <xdr:nvPicPr>
        <xdr:cNvPr id="3" name="Picture 2">
          <a:extLst>
            <a:ext uri="{FF2B5EF4-FFF2-40B4-BE49-F238E27FC236}">
              <a16:creationId xmlns:a16="http://schemas.microsoft.com/office/drawing/2014/main" id="{B1FE6799-F340-CE5C-EB0B-071DA27F13AC}"/>
            </a:ext>
          </a:extLst>
        </xdr:cNvPr>
        <xdr:cNvPicPr>
          <a:picLocks noChangeAspect="1"/>
        </xdr:cNvPicPr>
      </xdr:nvPicPr>
      <xdr:blipFill>
        <a:blip xmlns:r="http://schemas.openxmlformats.org/officeDocument/2006/relationships" r:embed="rId2"/>
        <a:stretch>
          <a:fillRect/>
        </a:stretch>
      </xdr:blipFill>
      <xdr:spPr>
        <a:xfrm>
          <a:off x="5994400" y="6432551"/>
          <a:ext cx="5004198" cy="484808"/>
        </a:xfrm>
        <a:prstGeom prst="rect">
          <a:avLst/>
        </a:prstGeom>
      </xdr:spPr>
    </xdr:pic>
    <xdr:clientData/>
  </xdr:twoCellAnchor>
  <xdr:twoCellAnchor editAs="oneCell">
    <xdr:from>
      <xdr:col>3</xdr:col>
      <xdr:colOff>412750</xdr:colOff>
      <xdr:row>27</xdr:row>
      <xdr:rowOff>74920</xdr:rowOff>
    </xdr:from>
    <xdr:to>
      <xdr:col>10</xdr:col>
      <xdr:colOff>338015</xdr:colOff>
      <xdr:row>29</xdr:row>
      <xdr:rowOff>3271</xdr:rowOff>
    </xdr:to>
    <xdr:pic>
      <xdr:nvPicPr>
        <xdr:cNvPr id="5" name="Picture 4">
          <a:extLst>
            <a:ext uri="{FF2B5EF4-FFF2-40B4-BE49-F238E27FC236}">
              <a16:creationId xmlns:a16="http://schemas.microsoft.com/office/drawing/2014/main" id="{8F082E8C-CFB3-C909-2D5F-BD6C75ACC592}"/>
            </a:ext>
          </a:extLst>
        </xdr:cNvPr>
        <xdr:cNvPicPr>
          <a:picLocks noChangeAspect="1"/>
        </xdr:cNvPicPr>
      </xdr:nvPicPr>
      <xdr:blipFill>
        <a:blip xmlns:r="http://schemas.openxmlformats.org/officeDocument/2006/relationships" r:embed="rId3"/>
        <a:stretch>
          <a:fillRect/>
        </a:stretch>
      </xdr:blipFill>
      <xdr:spPr>
        <a:xfrm>
          <a:off x="6337300" y="6901170"/>
          <a:ext cx="4478215" cy="296651"/>
        </a:xfrm>
        <a:prstGeom prst="rect">
          <a:avLst/>
        </a:prstGeom>
      </xdr:spPr>
    </xdr:pic>
    <xdr:clientData/>
  </xdr:twoCellAnchor>
  <xdr:twoCellAnchor editAs="oneCell">
    <xdr:from>
      <xdr:col>3</xdr:col>
      <xdr:colOff>533400</xdr:colOff>
      <xdr:row>28</xdr:row>
      <xdr:rowOff>170980</xdr:rowOff>
    </xdr:from>
    <xdr:to>
      <xdr:col>7</xdr:col>
      <xdr:colOff>114300</xdr:colOff>
      <xdr:row>34</xdr:row>
      <xdr:rowOff>3596</xdr:rowOff>
    </xdr:to>
    <xdr:pic>
      <xdr:nvPicPr>
        <xdr:cNvPr id="6" name="Picture 5">
          <a:extLst>
            <a:ext uri="{FF2B5EF4-FFF2-40B4-BE49-F238E27FC236}">
              <a16:creationId xmlns:a16="http://schemas.microsoft.com/office/drawing/2014/main" id="{0F05D984-04BF-53F6-9E0B-D3937D1DC49B}"/>
            </a:ext>
          </a:extLst>
        </xdr:cNvPr>
        <xdr:cNvPicPr>
          <a:picLocks noChangeAspect="1"/>
        </xdr:cNvPicPr>
      </xdr:nvPicPr>
      <xdr:blipFill>
        <a:blip xmlns:r="http://schemas.openxmlformats.org/officeDocument/2006/relationships" r:embed="rId4"/>
        <a:stretch>
          <a:fillRect/>
        </a:stretch>
      </xdr:blipFill>
      <xdr:spPr>
        <a:xfrm>
          <a:off x="6457950" y="7181380"/>
          <a:ext cx="2305050" cy="937516"/>
        </a:xfrm>
        <a:prstGeom prst="rect">
          <a:avLst/>
        </a:prstGeom>
      </xdr:spPr>
    </xdr:pic>
    <xdr:clientData/>
  </xdr:twoCellAnchor>
  <xdr:twoCellAnchor>
    <xdr:from>
      <xdr:col>3</xdr:col>
      <xdr:colOff>50800</xdr:colOff>
      <xdr:row>26</xdr:row>
      <xdr:rowOff>7455</xdr:rowOff>
    </xdr:from>
    <xdr:to>
      <xdr:col>3</xdr:col>
      <xdr:colOff>444500</xdr:colOff>
      <xdr:row>26</xdr:row>
      <xdr:rowOff>12700</xdr:rowOff>
    </xdr:to>
    <xdr:cxnSp macro="">
      <xdr:nvCxnSpPr>
        <xdr:cNvPr id="8" name="Straight Arrow Connector 7">
          <a:extLst>
            <a:ext uri="{FF2B5EF4-FFF2-40B4-BE49-F238E27FC236}">
              <a16:creationId xmlns:a16="http://schemas.microsoft.com/office/drawing/2014/main" id="{6BD507B5-CE7B-94C7-3DC0-B34DBF4C77F0}"/>
            </a:ext>
          </a:extLst>
        </xdr:cNvPr>
        <xdr:cNvCxnSpPr/>
      </xdr:nvCxnSpPr>
      <xdr:spPr>
        <a:xfrm>
          <a:off x="5975350" y="6649555"/>
          <a:ext cx="393700" cy="5245"/>
        </a:xfrm>
        <a:prstGeom prst="straightConnector1">
          <a:avLst/>
        </a:prstGeom>
        <a:ln>
          <a:tailEnd type="triangle"/>
        </a:ln>
      </xdr:spPr>
      <xdr:style>
        <a:lnRef idx="3">
          <a:schemeClr val="dk1"/>
        </a:lnRef>
        <a:fillRef idx="0">
          <a:schemeClr val="dk1"/>
        </a:fillRef>
        <a:effectRef idx="2">
          <a:schemeClr val="dk1"/>
        </a:effectRef>
        <a:fontRef idx="minor">
          <a:schemeClr val="tx1"/>
        </a:fontRef>
      </xdr:style>
    </xdr:cxnSp>
    <xdr:clientData/>
  </xdr:twoCellAnchor>
  <xdr:twoCellAnchor>
    <xdr:from>
      <xdr:col>3</xdr:col>
      <xdr:colOff>0</xdr:colOff>
      <xdr:row>28</xdr:row>
      <xdr:rowOff>0</xdr:rowOff>
    </xdr:from>
    <xdr:to>
      <xdr:col>3</xdr:col>
      <xdr:colOff>393700</xdr:colOff>
      <xdr:row>28</xdr:row>
      <xdr:rowOff>5245</xdr:rowOff>
    </xdr:to>
    <xdr:cxnSp macro="">
      <xdr:nvCxnSpPr>
        <xdr:cNvPr id="10" name="Straight Arrow Connector 9">
          <a:extLst>
            <a:ext uri="{FF2B5EF4-FFF2-40B4-BE49-F238E27FC236}">
              <a16:creationId xmlns:a16="http://schemas.microsoft.com/office/drawing/2014/main" id="{7B62BA5E-0BC2-4AE4-926D-B51B4465C1B1}"/>
            </a:ext>
          </a:extLst>
        </xdr:cNvPr>
        <xdr:cNvCxnSpPr/>
      </xdr:nvCxnSpPr>
      <xdr:spPr>
        <a:xfrm>
          <a:off x="5924550" y="7010400"/>
          <a:ext cx="393700" cy="5245"/>
        </a:xfrm>
        <a:prstGeom prst="straightConnector1">
          <a:avLst/>
        </a:prstGeom>
        <a:ln>
          <a:tailEnd type="triangle"/>
        </a:ln>
      </xdr:spPr>
      <xdr:style>
        <a:lnRef idx="3">
          <a:schemeClr val="dk1"/>
        </a:lnRef>
        <a:fillRef idx="0">
          <a:schemeClr val="dk1"/>
        </a:fillRef>
        <a:effectRef idx="2">
          <a:schemeClr val="dk1"/>
        </a:effectRef>
        <a:fontRef idx="minor">
          <a:schemeClr val="tx1"/>
        </a:fontRef>
      </xdr:style>
    </xdr:cxnSp>
    <xdr:clientData/>
  </xdr:twoCellAnchor>
  <xdr:twoCellAnchor>
    <xdr:from>
      <xdr:col>3</xdr:col>
      <xdr:colOff>0</xdr:colOff>
      <xdr:row>30</xdr:row>
      <xdr:rowOff>0</xdr:rowOff>
    </xdr:from>
    <xdr:to>
      <xdr:col>3</xdr:col>
      <xdr:colOff>742950</xdr:colOff>
      <xdr:row>30</xdr:row>
      <xdr:rowOff>152400</xdr:rowOff>
    </xdr:to>
    <xdr:cxnSp macro="">
      <xdr:nvCxnSpPr>
        <xdr:cNvPr id="11" name="Straight Arrow Connector 10">
          <a:extLst>
            <a:ext uri="{FF2B5EF4-FFF2-40B4-BE49-F238E27FC236}">
              <a16:creationId xmlns:a16="http://schemas.microsoft.com/office/drawing/2014/main" id="{10E44044-359B-40D6-B1AC-8E224C8CC138}"/>
            </a:ext>
          </a:extLst>
        </xdr:cNvPr>
        <xdr:cNvCxnSpPr/>
      </xdr:nvCxnSpPr>
      <xdr:spPr>
        <a:xfrm>
          <a:off x="5924550" y="7378700"/>
          <a:ext cx="742950" cy="152400"/>
        </a:xfrm>
        <a:prstGeom prst="straightConnector1">
          <a:avLst/>
        </a:prstGeom>
        <a:ln>
          <a:tailEnd type="triangle"/>
        </a:ln>
      </xdr:spPr>
      <xdr:style>
        <a:lnRef idx="3">
          <a:schemeClr val="dk1"/>
        </a:lnRef>
        <a:fillRef idx="0">
          <a:schemeClr val="dk1"/>
        </a:fillRef>
        <a:effectRef idx="2">
          <a:schemeClr val="dk1"/>
        </a:effectRef>
        <a:fontRef idx="minor">
          <a:schemeClr val="tx1"/>
        </a:fontRef>
      </xdr:style>
    </xdr:cxnSp>
    <xdr:clientData/>
  </xdr:twoCellAnchor>
  <xdr:twoCellAnchor editAs="oneCell">
    <xdr:from>
      <xdr:col>2</xdr:col>
      <xdr:colOff>3901951</xdr:colOff>
      <xdr:row>6</xdr:row>
      <xdr:rowOff>139700</xdr:rowOff>
    </xdr:from>
    <xdr:to>
      <xdr:col>12</xdr:col>
      <xdr:colOff>30070</xdr:colOff>
      <xdr:row>16</xdr:row>
      <xdr:rowOff>48546</xdr:rowOff>
    </xdr:to>
    <xdr:pic>
      <xdr:nvPicPr>
        <xdr:cNvPr id="13" name="Picture 12">
          <a:extLst>
            <a:ext uri="{FF2B5EF4-FFF2-40B4-BE49-F238E27FC236}">
              <a16:creationId xmlns:a16="http://schemas.microsoft.com/office/drawing/2014/main" id="{23E08C8A-6723-649C-5D40-4606C9FA72F5}"/>
            </a:ext>
          </a:extLst>
        </xdr:cNvPr>
        <xdr:cNvPicPr>
          <a:picLocks noChangeAspect="1"/>
        </xdr:cNvPicPr>
      </xdr:nvPicPr>
      <xdr:blipFill>
        <a:blip xmlns:r="http://schemas.openxmlformats.org/officeDocument/2006/relationships" r:embed="rId5"/>
        <a:stretch>
          <a:fillRect/>
        </a:stretch>
      </xdr:blipFill>
      <xdr:spPr>
        <a:xfrm>
          <a:off x="5895851" y="1257300"/>
          <a:ext cx="5830919" cy="3591846"/>
        </a:xfrm>
        <a:prstGeom prst="rect">
          <a:avLst/>
        </a:prstGeom>
      </xdr:spPr>
    </xdr:pic>
    <xdr:clientData/>
  </xdr:twoCellAnchor>
</xdr:wsDr>
</file>

<file path=xl/drawings/drawing2.xml><?xml version="1.0" encoding="utf-8"?>
<xdr:wsDr xmlns:xdr="http://schemas.openxmlformats.org/drawingml/2006/spreadsheetDrawing" xmlns:a="http://schemas.openxmlformats.org/drawingml/2006/main">
  <xdr:twoCellAnchor editAs="oneCell">
    <xdr:from>
      <xdr:col>0</xdr:col>
      <xdr:colOff>0</xdr:colOff>
      <xdr:row>0</xdr:row>
      <xdr:rowOff>127000</xdr:rowOff>
    </xdr:from>
    <xdr:to>
      <xdr:col>1</xdr:col>
      <xdr:colOff>577850</xdr:colOff>
      <xdr:row>5</xdr:row>
      <xdr:rowOff>87888</xdr:rowOff>
    </xdr:to>
    <xdr:pic>
      <xdr:nvPicPr>
        <xdr:cNvPr id="2" name="Picture 1" descr="Thangamayil Jewellery (THANGAMAYL) Live Share Price Today on NSE/BSE, Stock  Analysis and Price Estimates">
          <a:extLst>
            <a:ext uri="{FF2B5EF4-FFF2-40B4-BE49-F238E27FC236}">
              <a16:creationId xmlns:a16="http://schemas.microsoft.com/office/drawing/2014/main" id="{23F89A80-4A70-4856-ACA1-603814301B44}"/>
            </a:ext>
          </a:extLst>
        </xdr:cNvPr>
        <xdr:cNvPicPr>
          <a:picLocks noChangeAspect="1" noChangeArrowheads="1"/>
        </xdr:cNvPicPr>
      </xdr:nvPicPr>
      <xdr:blipFill rotWithShape="1">
        <a:blip xmlns:r="http://schemas.openxmlformats.org/officeDocument/2006/relationships" r:embed="rId1">
          <a:extLst>
            <a:ext uri="{28A0092B-C50C-407E-A947-70E740481C1C}">
              <a14:useLocalDpi xmlns:a14="http://schemas.microsoft.com/office/drawing/2010/main" val="0"/>
            </a:ext>
          </a:extLst>
        </a:blip>
        <a:srcRect l="23697" t="15365" r="22396" b="14844"/>
        <a:stretch>
          <a:fillRect/>
        </a:stretch>
      </xdr:blipFill>
      <xdr:spPr bwMode="auto">
        <a:xfrm>
          <a:off x="0" y="127000"/>
          <a:ext cx="1003300" cy="945138"/>
        </a:xfrm>
        <a:prstGeom prst="rect">
          <a:avLst/>
        </a:prstGeom>
        <a:noFill/>
        <a:extLst>
          <a:ext uri="{909E8E84-426E-40DD-AFC4-6F175D3DCCD1}">
            <a14:hiddenFill xmlns:a14="http://schemas.microsoft.com/office/drawing/2010/main">
              <a:solidFill>
                <a:srgbClr val="FFFFFF"/>
              </a:solidFill>
            </a14:hiddenFill>
          </a:ext>
        </a:extLst>
      </xdr:spPr>
    </xdr:pic>
    <xdr:clientData/>
  </xdr:twoCellAnchor>
</xdr:wsDr>
</file>

<file path=xl/drawings/drawing3.xml><?xml version="1.0" encoding="utf-8"?>
<xdr:wsDr xmlns:xdr="http://schemas.openxmlformats.org/drawingml/2006/spreadsheetDrawing" xmlns:a="http://schemas.openxmlformats.org/drawingml/2006/main">
  <xdr:twoCellAnchor>
    <xdr:from>
      <xdr:col>3</xdr:col>
      <xdr:colOff>358321</xdr:colOff>
      <xdr:row>13</xdr:row>
      <xdr:rowOff>39008</xdr:rowOff>
    </xdr:from>
    <xdr:to>
      <xdr:col>7</xdr:col>
      <xdr:colOff>149678</xdr:colOff>
      <xdr:row>26</xdr:row>
      <xdr:rowOff>187779</xdr:rowOff>
    </xdr:to>
    <xdr:graphicFrame macro="">
      <xdr:nvGraphicFramePr>
        <xdr:cNvPr id="3" name="Chart 2">
          <a:extLst>
            <a:ext uri="{FF2B5EF4-FFF2-40B4-BE49-F238E27FC236}">
              <a16:creationId xmlns:a16="http://schemas.microsoft.com/office/drawing/2014/main" id="{1345BBC9-833A-AD60-ECDF-5007D1206591}"/>
            </a:ext>
          </a:extLst>
        </xdr:cNvPr>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1"/>
        </a:graphicData>
      </a:graphic>
    </xdr:graphicFrame>
    <xdr:clientData/>
  </xdr:twoCellAnchor>
</xdr:wsDr>
</file>

<file path=xl/drawings/drawing4.xml><?xml version="1.0" encoding="utf-8"?>
<c:userShapes xmlns:c="http://schemas.openxmlformats.org/drawingml/2006/chart">
  <cdr:relSizeAnchor xmlns:cdr="http://schemas.openxmlformats.org/drawingml/2006/chartDrawing">
    <cdr:from>
      <cdr:x>0.07043</cdr:x>
      <cdr:y>0.24702</cdr:y>
    </cdr:from>
    <cdr:to>
      <cdr:x>0.9752</cdr:x>
      <cdr:y>0.25363</cdr:y>
    </cdr:to>
    <cdr:cxnSp macro="">
      <cdr:nvCxnSpPr>
        <cdr:cNvPr id="3" name="Straight Connector 2">
          <a:extLst xmlns:a="http://schemas.openxmlformats.org/drawingml/2006/main">
            <a:ext uri="{FF2B5EF4-FFF2-40B4-BE49-F238E27FC236}">
              <a16:creationId xmlns:a16="http://schemas.microsoft.com/office/drawing/2014/main" id="{3B982031-FA7B-A43D-BB38-264CCA8CD845}"/>
            </a:ext>
          </a:extLst>
        </cdr:cNvPr>
        <cdr:cNvCxnSpPr/>
      </cdr:nvCxnSpPr>
      <cdr:spPr>
        <a:xfrm xmlns:a="http://schemas.openxmlformats.org/drawingml/2006/main" flipV="1">
          <a:off x="322014" y="677632"/>
          <a:ext cx="4136608" cy="18132"/>
        </a:xfrm>
        <a:prstGeom xmlns:a="http://schemas.openxmlformats.org/drawingml/2006/main" prst="line">
          <a:avLst/>
        </a:prstGeom>
        <a:ln xmlns:a="http://schemas.openxmlformats.org/drawingml/2006/main" w="25400" cap="flat" cmpd="sng" algn="ctr">
          <a:solidFill>
            <a:schemeClr val="accent2"/>
          </a:solidFill>
          <a:prstDash val="dash"/>
          <a:round/>
          <a:headEnd type="none" w="med" len="med"/>
          <a:tailEnd type="none" w="med" len="med"/>
        </a:ln>
      </cdr:spPr>
      <cdr:style>
        <a:lnRef xmlns:a="http://schemas.openxmlformats.org/drawingml/2006/main" idx="0">
          <a:scrgbClr r="0" g="0" b="0"/>
        </a:lnRef>
        <a:fillRef xmlns:a="http://schemas.openxmlformats.org/drawingml/2006/main" idx="0">
          <a:scrgbClr r="0" g="0" b="0"/>
        </a:fillRef>
        <a:effectRef xmlns:a="http://schemas.openxmlformats.org/drawingml/2006/main" idx="0">
          <a:scrgbClr r="0" g="0" b="0"/>
        </a:effectRef>
        <a:fontRef xmlns:a="http://schemas.openxmlformats.org/drawingml/2006/main" idx="minor">
          <a:schemeClr val="tx1"/>
        </a:fontRef>
      </cdr:style>
    </cdr:cxnSp>
  </cdr:relSizeAnchor>
</c:userShapes>
</file>

<file path=xl/tables/table1.xml><?xml version="1.0" encoding="utf-8"?>
<table xmlns="http://schemas.openxmlformats.org/spreadsheetml/2006/main" xmlns:mc="http://schemas.openxmlformats.org/markup-compatibility/2006" xmlns:xr="http://schemas.microsoft.com/office/spreadsheetml/2014/revision" xmlns:xr3="http://schemas.microsoft.com/office/spreadsheetml/2016/revision3" mc:Ignorable="xr xr3" id="3" xr:uid="{70C3480D-DDE4-4FB5-A292-D83748E0594E}" name="Table3" displayName="Table3" ref="A1:J7" totalsRowShown="0" headerRowDxfId="11" dataDxfId="10">
  <tableColumns count="10">
    <tableColumn id="1" xr3:uid="{7DD6770F-B496-4C89-B060-6C50048BA4D7}" name="Company" dataDxfId="9"/>
    <tableColumn id="2" xr3:uid="{D8FFD328-1123-4A1C-A3E5-98C395868DCB}" name="Ticker" dataDxfId="8"/>
    <tableColumn id="3" xr3:uid="{842786DA-4FA9-4E23-9674-10B2797E6524}" name="Stock Price" dataDxfId="7"/>
    <tableColumn id="4" xr3:uid="{447B337E-5320-4E2C-8B3F-A039CECCFBD0}" name="Weighted Avg. Shares Outstanding Dil" dataDxfId="6"/>
    <tableColumn id="5" xr3:uid="{E1E7A8FD-6E95-474B-8442-A248FF21D794}" name="Total Debt" dataDxfId="5"/>
    <tableColumn id="6" xr3:uid="{F368B626-5DB1-4A15-84DB-590FFF09CBC5}" name="Cash And Equivalents" dataDxfId="4"/>
    <tableColumn id="7" xr3:uid="{3B7A85DE-C9FD-4323-822B-CC4B841517B9}" name="Revenues" dataDxfId="3"/>
    <tableColumn id="8" xr3:uid="{F85E924E-8AF9-4A33-B897-5AA4DE89438E}" name="EBITDA" dataDxfId="2"/>
    <tableColumn id="9" xr3:uid="{7788DCE9-05D7-4A47-AEA7-389B8427B260}" name="Net Income (Income Statement)" dataDxfId="1"/>
    <tableColumn id="10" xr3:uid="{E2CB5C2F-5AEF-471E-AE5D-1353AFDA6DBE}" name="Effective Tax Rate" dataDxfId="0"/>
  </tableColumns>
  <tableStyleInfo name="TableStyleLight1" showFirstColumn="0" showLastColumn="0" showRowStripes="1" showColumnStripes="0"/>
</table>
</file>

<file path=xl/theme/theme1.xml><?xml version="1.0" encoding="utf-8"?>
<a:theme xmlns:a="http://schemas.openxmlformats.org/drawingml/2006/main" name="Office Theme">
  <a:themeElements>
    <a:clrScheme name="Office">
      <a:dk1>
        <a:sysClr val="windowText" lastClr="000000"/>
      </a:dk1>
      <a:lt1>
        <a:sysClr val="window" lastClr="FFFFFF"/>
      </a:lt1>
      <a:dk2>
        <a:srgbClr val="44546A"/>
      </a:dk2>
      <a:lt2>
        <a:srgbClr val="E7E6E6"/>
      </a:lt2>
      <a:accent1>
        <a:srgbClr val="4472C4"/>
      </a:accent1>
      <a:accent2>
        <a:srgbClr val="ED7D31"/>
      </a:accent2>
      <a:accent3>
        <a:srgbClr val="A5A5A5"/>
      </a:accent3>
      <a:accent4>
        <a:srgbClr val="FFC000"/>
      </a:accent4>
      <a:accent5>
        <a:srgbClr val="5B9BD5"/>
      </a:accent5>
      <a:accent6>
        <a:srgbClr val="70AD47"/>
      </a:accent6>
      <a:hlink>
        <a:srgbClr val="0563C1"/>
      </a:hlink>
      <a:folHlink>
        <a:srgbClr val="954F72"/>
      </a:folHlink>
    </a:clrScheme>
    <a:fontScheme name="Office">
      <a:majorFont>
        <a:latin typeface="Calibri Light" panose="020F0302020204030204"/>
        <a:ea typeface=""/>
        <a:cs typeface=""/>
        <a:font script="Jpan" typeface="游ゴシック Light"/>
        <a:font script="Hang" typeface="맑은 고딕"/>
        <a:font script="Hans" typeface="等线 Light"/>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ajorFont>
      <a:minorFont>
        <a:latin typeface="Calibri" panose="020F0502020204030204"/>
        <a:ea typeface=""/>
        <a:cs typeface=""/>
        <a:font script="Jpan" typeface="游ゴシック"/>
        <a:font script="Hang" typeface="맑은 고딕"/>
        <a:font script="Hans" typeface="等线"/>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inorFont>
    </a:fontScheme>
    <a:fmtScheme name="Office">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6350" cap="flat" cmpd="sng" algn="ctr">
          <a:solidFill>
            <a:schemeClr val="phClr"/>
          </a:solidFill>
          <a:prstDash val="solid"/>
          <a:miter lim="800000"/>
        </a:ln>
        <a:ln w="12700" cap="flat" cmpd="sng" algn="ctr">
          <a:solidFill>
            <a:schemeClr val="phClr"/>
          </a:solidFill>
          <a:prstDash val="solid"/>
          <a:miter lim="800000"/>
        </a:ln>
        <a:ln w="1905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objectDefaults/>
  <a:extraClrSchemeLst/>
  <a:extLst>
    <a:ext uri="{05A4C25C-085E-4340-85A3-A5531E510DB2}">
      <thm15:themeFamily xmlns:thm15="http://schemas.microsoft.com/office/thememl/2012/main" name="Office Theme" id="{62F939B6-93AF-4DB8-9C6B-D6C7DFDC589F}" vid="{4A3C46E8-61CC-4603-A589-7422A47A8E4A}"/>
    </a:ext>
  </a:extLst>
</a:theme>
</file>

<file path=xl/worksheets/_rels/sheet2.xml.rels><?xml version="1.0" encoding="UTF-8" standalone="yes"?>
<Relationships xmlns="http://schemas.openxmlformats.org/package/2006/relationships"><Relationship Id="rId3" Type="http://schemas.openxmlformats.org/officeDocument/2006/relationships/drawing" Target="../drawings/drawing1.xml"/><Relationship Id="rId2" Type="http://schemas.openxmlformats.org/officeDocument/2006/relationships/hyperlink" Target="http://www.thangamayil.com/" TargetMode="External"/><Relationship Id="rId1" Type="http://schemas.openxmlformats.org/officeDocument/2006/relationships/hyperlink" Target="https://varunbeverages.com/" TargetMode="External"/></Relationships>
</file>

<file path=xl/worksheets/_rels/sheet6.xml.rels><?xml version="1.0" encoding="UTF-8" standalone="yes"?>
<Relationships xmlns="http://schemas.openxmlformats.org/package/2006/relationships"><Relationship Id="rId1" Type="http://schemas.openxmlformats.org/officeDocument/2006/relationships/drawing" Target="../drawings/drawing2.xml"/></Relationships>
</file>

<file path=xl/worksheets/_rels/sheet8.xml.rels><?xml version="1.0" encoding="UTF-8" standalone="yes"?>
<Relationships xmlns="http://schemas.openxmlformats.org/package/2006/relationships"><Relationship Id="rId1" Type="http://schemas.openxmlformats.org/officeDocument/2006/relationships/table" Target="../tables/table1.xml"/></Relationships>
</file>

<file path=xl/worksheets/_rels/sheet12.xml.rels><?xml version="1.0" encoding="UTF-8" standalone="yes"?>
<Relationships xmlns="http://schemas.openxmlformats.org/package/2006/relationships"><Relationship Id="rId1" Type="http://schemas.openxmlformats.org/officeDocument/2006/relationships/drawing" Target="../drawings/drawing3.xml"/></Relationships>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376696D-D404-433F-9D5E-CDEE0D10B35C}">
  <dimension ref="A1:H15"/>
  <sheetViews>
    <sheetView showGridLines="0" topLeftCell="A2" workbookViewId="0">
      <selection activeCell="F16" sqref="F16"/>
    </sheetView>
  </sheetViews>
  <sheetFormatPr defaultColWidth="9.08984375" defaultRowHeight="14.5" x14ac:dyDescent="0.35"/>
  <cols>
    <col min="1" max="1" width="2.6328125" style="281" customWidth="1"/>
    <col min="2" max="2" width="6.08984375" style="281" customWidth="1"/>
    <col min="3" max="3" width="4.36328125" style="281" customWidth="1"/>
    <col min="4" max="5" width="9.08984375" style="281"/>
    <col min="6" max="6" width="26.08984375" style="281" customWidth="1"/>
    <col min="7" max="7" width="11.26953125" style="281" customWidth="1"/>
    <col min="8" max="8" width="34.26953125" style="281" customWidth="1"/>
    <col min="9" max="16384" width="9.08984375" style="281"/>
  </cols>
  <sheetData>
    <row r="1" spans="1:8" ht="32" x14ac:dyDescent="0.7">
      <c r="A1" s="288" t="s">
        <v>1</v>
      </c>
      <c r="B1" s="289"/>
      <c r="C1" s="289"/>
      <c r="D1" s="289"/>
      <c r="E1" s="289"/>
      <c r="F1" s="289"/>
      <c r="G1" s="289"/>
      <c r="H1" s="289"/>
    </row>
    <row r="2" spans="1:8" x14ac:dyDescent="0.35">
      <c r="A2" s="290"/>
      <c r="B2" s="291"/>
      <c r="C2" s="289"/>
      <c r="D2" s="289"/>
      <c r="E2" s="289"/>
      <c r="F2" s="291"/>
      <c r="G2" s="291"/>
      <c r="H2" s="289"/>
    </row>
    <row r="3" spans="1:8" x14ac:dyDescent="0.35">
      <c r="A3" s="282"/>
      <c r="B3" s="282"/>
      <c r="C3" s="282"/>
      <c r="D3" s="282"/>
      <c r="E3" s="282"/>
      <c r="F3" s="282"/>
      <c r="G3" s="282"/>
      <c r="H3" s="282"/>
    </row>
    <row r="4" spans="1:8" ht="15.5" x14ac:dyDescent="0.35">
      <c r="B4" s="283" t="s">
        <v>452</v>
      </c>
      <c r="C4" s="284"/>
      <c r="D4" s="285"/>
      <c r="E4" s="285"/>
    </row>
    <row r="5" spans="1:8" x14ac:dyDescent="0.35">
      <c r="A5" s="282"/>
      <c r="B5" s="286"/>
      <c r="C5" s="287" t="s">
        <v>217</v>
      </c>
      <c r="D5" s="282"/>
      <c r="E5" s="282"/>
      <c r="F5" s="282"/>
      <c r="G5" s="282"/>
      <c r="H5" s="282"/>
    </row>
    <row r="6" spans="1:8" x14ac:dyDescent="0.35">
      <c r="A6" s="282"/>
      <c r="B6" s="286"/>
      <c r="C6" s="287" t="s">
        <v>453</v>
      </c>
      <c r="D6" s="282"/>
      <c r="E6" s="282"/>
      <c r="F6" s="282"/>
      <c r="G6" s="282"/>
      <c r="H6" s="282"/>
    </row>
    <row r="7" spans="1:8" x14ac:dyDescent="0.35">
      <c r="A7" s="282"/>
      <c r="B7" s="286"/>
      <c r="C7" s="287" t="s">
        <v>372</v>
      </c>
      <c r="D7" s="282"/>
      <c r="E7" s="282"/>
      <c r="F7" s="282"/>
      <c r="G7" s="282"/>
      <c r="H7" s="282"/>
    </row>
    <row r="8" spans="1:8" x14ac:dyDescent="0.35">
      <c r="A8" s="282"/>
      <c r="B8" s="286"/>
      <c r="C8" s="287" t="s">
        <v>374</v>
      </c>
      <c r="D8" s="282"/>
      <c r="E8" s="282"/>
      <c r="F8" s="282"/>
      <c r="G8" s="282"/>
      <c r="H8" s="282"/>
    </row>
    <row r="9" spans="1:8" x14ac:dyDescent="0.35">
      <c r="A9"/>
      <c r="B9"/>
      <c r="C9" s="287" t="s">
        <v>441</v>
      </c>
      <c r="D9"/>
      <c r="E9"/>
      <c r="F9"/>
      <c r="G9"/>
      <c r="H9"/>
    </row>
    <row r="10" spans="1:8" x14ac:dyDescent="0.35">
      <c r="A10" s="286"/>
      <c r="B10" s="286"/>
      <c r="C10" s="287" t="s">
        <v>267</v>
      </c>
      <c r="D10" s="286"/>
      <c r="E10" s="286"/>
      <c r="F10" s="286"/>
      <c r="G10" s="286"/>
      <c r="H10" s="286"/>
    </row>
    <row r="11" spans="1:8" x14ac:dyDescent="0.35">
      <c r="A11" s="286"/>
      <c r="B11" s="286"/>
      <c r="C11" s="287" t="s">
        <v>454</v>
      </c>
      <c r="D11" s="286"/>
      <c r="E11" s="286"/>
      <c r="F11" s="286"/>
      <c r="G11" s="286"/>
      <c r="H11" s="286"/>
    </row>
    <row r="12" spans="1:8" x14ac:dyDescent="0.35">
      <c r="A12" s="286"/>
      <c r="B12" s="286"/>
      <c r="C12" s="287" t="s">
        <v>455</v>
      </c>
      <c r="D12" s="286"/>
      <c r="E12" s="286"/>
      <c r="F12" s="286"/>
      <c r="G12" s="286"/>
      <c r="H12" s="286"/>
    </row>
    <row r="13" spans="1:8" x14ac:dyDescent="0.35">
      <c r="A13" s="286"/>
      <c r="B13" s="286"/>
      <c r="C13" s="287" t="s">
        <v>334</v>
      </c>
      <c r="D13" s="286"/>
      <c r="E13" s="286"/>
      <c r="F13" s="286"/>
      <c r="G13" s="286"/>
      <c r="H13" s="286"/>
    </row>
    <row r="14" spans="1:8" x14ac:dyDescent="0.35">
      <c r="A14" s="286"/>
      <c r="B14" s="286"/>
      <c r="C14" s="287" t="s">
        <v>319</v>
      </c>
      <c r="D14" s="286"/>
      <c r="E14" s="286"/>
      <c r="F14" s="286"/>
      <c r="G14" s="286"/>
      <c r="H14" s="286"/>
    </row>
    <row r="15" spans="1:8" x14ac:dyDescent="0.35">
      <c r="A15" s="286"/>
      <c r="B15" s="286"/>
      <c r="C15" s="287" t="s">
        <v>456</v>
      </c>
      <c r="D15" s="286"/>
      <c r="E15" s="286"/>
      <c r="F15" s="286"/>
      <c r="G15" s="286"/>
      <c r="H15" s="286"/>
    </row>
  </sheetData>
  <pageMargins left="0.7" right="0.7" top="0.75" bottom="0.75" header="0.3" footer="0.3"/>
</worksheet>
</file>

<file path=xl/worksheets/sheet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EE648646-B78E-4338-998E-BA1D6530DA1B}">
  <dimension ref="B6:G38"/>
  <sheetViews>
    <sheetView showGridLines="0" tabSelected="1" workbookViewId="0">
      <selection activeCell="C39" sqref="C39"/>
    </sheetView>
  </sheetViews>
  <sheetFormatPr defaultRowHeight="14.5" x14ac:dyDescent="0.35"/>
  <cols>
    <col min="1" max="1" width="8.7265625" style="34"/>
    <col min="2" max="2" width="19.81640625" style="34" bestFit="1" customWidth="1"/>
    <col min="3" max="3" width="56.26953125" style="34" customWidth="1"/>
    <col min="4" max="4" width="11.54296875" style="34" customWidth="1"/>
    <col min="5" max="5" width="8.36328125" style="34" customWidth="1"/>
    <col min="6" max="6" width="10.36328125" style="34" customWidth="1"/>
    <col min="7" max="16384" width="8.7265625" style="34"/>
  </cols>
  <sheetData>
    <row r="6" spans="2:6" ht="15.5" x14ac:dyDescent="0.35">
      <c r="C6" s="1"/>
    </row>
    <row r="8" spans="2:6" x14ac:dyDescent="0.35">
      <c r="B8" s="216" t="s">
        <v>360</v>
      </c>
      <c r="C8" s="217" t="s">
        <v>1</v>
      </c>
    </row>
    <row r="9" spans="2:6" x14ac:dyDescent="0.35">
      <c r="B9" s="216" t="s">
        <v>361</v>
      </c>
      <c r="C9" s="218" t="s">
        <v>367</v>
      </c>
    </row>
    <row r="10" spans="2:6" x14ac:dyDescent="0.35">
      <c r="B10" s="216" t="s">
        <v>362</v>
      </c>
      <c r="C10" s="218" t="s">
        <v>440</v>
      </c>
    </row>
    <row r="11" spans="2:6" x14ac:dyDescent="0.35">
      <c r="B11" s="216" t="s">
        <v>363</v>
      </c>
      <c r="C11" s="218" t="s">
        <v>368</v>
      </c>
      <c r="D11" s="168"/>
      <c r="E11" s="168"/>
      <c r="F11" s="168"/>
    </row>
    <row r="12" spans="2:6" x14ac:dyDescent="0.35">
      <c r="B12" s="216" t="s">
        <v>364</v>
      </c>
      <c r="C12" s="218" t="s">
        <v>369</v>
      </c>
    </row>
    <row r="13" spans="2:6" x14ac:dyDescent="0.35">
      <c r="B13" s="216" t="s">
        <v>365</v>
      </c>
      <c r="C13" s="219" t="s">
        <v>371</v>
      </c>
    </row>
    <row r="14" spans="2:6" ht="159.5" x14ac:dyDescent="0.35">
      <c r="B14" s="220" t="s">
        <v>360</v>
      </c>
      <c r="C14" s="221" t="s">
        <v>370</v>
      </c>
    </row>
    <row r="15" spans="2:6" x14ac:dyDescent="0.35">
      <c r="B15" s="216" t="s">
        <v>366</v>
      </c>
      <c r="C15" s="280">
        <f>Comps_data!C2</f>
        <v>3496.9</v>
      </c>
    </row>
    <row r="16" spans="2:6" x14ac:dyDescent="0.35">
      <c r="D16" s="222"/>
      <c r="E16" s="222"/>
      <c r="F16" s="222"/>
    </row>
    <row r="17" spans="2:6" x14ac:dyDescent="0.35">
      <c r="D17" s="222"/>
      <c r="E17" s="222"/>
      <c r="F17" s="222"/>
    </row>
    <row r="18" spans="2:6" x14ac:dyDescent="0.35">
      <c r="B18" s="306" t="s">
        <v>372</v>
      </c>
      <c r="C18" s="299" t="s">
        <v>442</v>
      </c>
      <c r="D18" s="223"/>
      <c r="E18" s="223"/>
    </row>
    <row r="19" spans="2:6" x14ac:dyDescent="0.35">
      <c r="B19" s="295"/>
      <c r="C19" s="298"/>
      <c r="D19" s="223"/>
      <c r="E19" s="223"/>
    </row>
    <row r="20" spans="2:6" x14ac:dyDescent="0.35">
      <c r="B20" s="295"/>
      <c r="C20" s="299" t="s">
        <v>443</v>
      </c>
      <c r="D20" s="223"/>
      <c r="E20" s="223"/>
    </row>
    <row r="21" spans="2:6" x14ac:dyDescent="0.35">
      <c r="B21" s="295"/>
      <c r="C21" s="298"/>
      <c r="D21" s="223"/>
      <c r="E21" s="223"/>
    </row>
    <row r="22" spans="2:6" x14ac:dyDescent="0.35">
      <c r="B22" s="295"/>
      <c r="C22" s="299" t="s">
        <v>444</v>
      </c>
      <c r="D22" s="223"/>
      <c r="E22" s="223"/>
    </row>
    <row r="23" spans="2:6" x14ac:dyDescent="0.35">
      <c r="B23" s="295"/>
      <c r="C23" s="298"/>
      <c r="D23" s="223"/>
      <c r="E23" s="223"/>
    </row>
    <row r="24" spans="2:6" x14ac:dyDescent="0.35">
      <c r="B24" s="295"/>
      <c r="C24" s="297" t="s">
        <v>445</v>
      </c>
      <c r="D24" s="223"/>
      <c r="E24" s="223"/>
    </row>
    <row r="25" spans="2:6" x14ac:dyDescent="0.35">
      <c r="B25" s="295"/>
      <c r="C25" s="298"/>
      <c r="D25" s="223"/>
      <c r="E25" s="223"/>
    </row>
    <row r="26" spans="2:6" x14ac:dyDescent="0.35">
      <c r="B26" s="306" t="s">
        <v>441</v>
      </c>
      <c r="C26" s="299" t="s">
        <v>446</v>
      </c>
      <c r="D26" s="223"/>
      <c r="E26" s="223"/>
    </row>
    <row r="27" spans="2:6" x14ac:dyDescent="0.35">
      <c r="B27" s="295"/>
      <c r="C27" s="298"/>
      <c r="D27" s="223"/>
      <c r="E27" s="223"/>
    </row>
    <row r="28" spans="2:6" x14ac:dyDescent="0.35">
      <c r="B28" s="295"/>
      <c r="C28" s="299" t="s">
        <v>448</v>
      </c>
      <c r="D28" s="223"/>
      <c r="E28" s="223"/>
    </row>
    <row r="29" spans="2:6" x14ac:dyDescent="0.35">
      <c r="B29" s="295"/>
      <c r="C29" s="298"/>
      <c r="D29" s="223"/>
      <c r="E29" s="223"/>
    </row>
    <row r="30" spans="2:6" x14ac:dyDescent="0.35">
      <c r="B30" s="295"/>
      <c r="C30" s="299" t="s">
        <v>449</v>
      </c>
      <c r="D30" s="223"/>
      <c r="E30" s="223"/>
    </row>
    <row r="31" spans="2:6" x14ac:dyDescent="0.35">
      <c r="B31" s="296"/>
      <c r="C31" s="298"/>
      <c r="D31" s="223"/>
      <c r="E31" s="223"/>
    </row>
    <row r="32" spans="2:6" x14ac:dyDescent="0.35">
      <c r="B32" s="295" t="s">
        <v>267</v>
      </c>
      <c r="C32" s="297" t="s">
        <v>450</v>
      </c>
      <c r="D32" s="223"/>
      <c r="E32" s="223"/>
    </row>
    <row r="33" spans="2:7" x14ac:dyDescent="0.35">
      <c r="B33" s="296"/>
      <c r="C33" s="298"/>
      <c r="D33" s="223"/>
      <c r="E33" s="223"/>
    </row>
    <row r="34" spans="2:7" x14ac:dyDescent="0.35">
      <c r="B34" s="295" t="s">
        <v>334</v>
      </c>
      <c r="C34" s="297" t="s">
        <v>447</v>
      </c>
      <c r="D34" s="223"/>
      <c r="E34" s="223"/>
      <c r="F34" s="223"/>
      <c r="G34" s="223"/>
    </row>
    <row r="35" spans="2:7" x14ac:dyDescent="0.35">
      <c r="B35" s="296"/>
      <c r="C35" s="298"/>
      <c r="D35" s="223"/>
      <c r="E35" s="223"/>
      <c r="F35" s="223"/>
      <c r="G35" s="223"/>
    </row>
    <row r="36" spans="2:7" x14ac:dyDescent="0.35">
      <c r="B36" s="300" t="s">
        <v>355</v>
      </c>
      <c r="C36" s="303" t="s">
        <v>451</v>
      </c>
      <c r="D36" s="223"/>
      <c r="E36" s="223"/>
      <c r="F36" s="223"/>
      <c r="G36" s="223"/>
    </row>
    <row r="37" spans="2:7" x14ac:dyDescent="0.35">
      <c r="B37" s="301"/>
      <c r="C37" s="304"/>
    </row>
    <row r="38" spans="2:7" x14ac:dyDescent="0.35">
      <c r="B38" s="302"/>
      <c r="C38" s="305"/>
    </row>
  </sheetData>
  <mergeCells count="15">
    <mergeCell ref="B34:B35"/>
    <mergeCell ref="C34:C35"/>
    <mergeCell ref="C18:C19"/>
    <mergeCell ref="C20:C21"/>
    <mergeCell ref="B36:B38"/>
    <mergeCell ref="C36:C38"/>
    <mergeCell ref="B18:B25"/>
    <mergeCell ref="C22:C23"/>
    <mergeCell ref="C24:C25"/>
    <mergeCell ref="C26:C27"/>
    <mergeCell ref="C28:C29"/>
    <mergeCell ref="C30:C31"/>
    <mergeCell ref="C32:C33"/>
    <mergeCell ref="B26:B31"/>
    <mergeCell ref="B32:B33"/>
  </mergeCells>
  <hyperlinks>
    <hyperlink ref="C16:F16" r:id="rId1" display="https://varunbeverages.com/" xr:uid="{355723F7-00A3-46A0-8A0D-FE7E2D0E65C9}"/>
    <hyperlink ref="C13" r:id="rId2" xr:uid="{E6F49D9F-A4E8-4E77-BA3F-6F63D3F51F63}"/>
  </hyperlinks>
  <pageMargins left="0.7" right="0.7" top="0.75" bottom="0.75" header="0.3" footer="0.3"/>
  <drawing r:id="rId3"/>
</worksheet>
</file>

<file path=xl/worksheets/sheet3.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41FEE76E-A237-420D-A8FF-B046DD721AC0}">
  <dimension ref="A1:Z127"/>
  <sheetViews>
    <sheetView showGridLines="0" topLeftCell="A99" zoomScale="55" zoomScaleNormal="55" workbookViewId="0">
      <selection activeCell="R116" sqref="R116"/>
    </sheetView>
  </sheetViews>
  <sheetFormatPr defaultColWidth="11.6328125" defaultRowHeight="15.5" x14ac:dyDescent="0.35"/>
  <cols>
    <col min="1" max="3" width="1.26953125" style="5" customWidth="1"/>
    <col min="4" max="4" width="40.6328125" style="5" customWidth="1"/>
    <col min="5" max="6" width="12.6328125" style="5" customWidth="1"/>
    <col min="7" max="7" width="2.6328125" style="5" customWidth="1"/>
    <col min="8" max="16384" width="11.6328125" style="5"/>
  </cols>
  <sheetData>
    <row r="1" spans="1:22" ht="32" x14ac:dyDescent="0.7">
      <c r="A1" s="9" t="s">
        <v>1</v>
      </c>
      <c r="B1" s="10"/>
      <c r="C1" s="10"/>
      <c r="D1" s="10"/>
      <c r="E1" s="10"/>
      <c r="F1" s="10"/>
      <c r="G1" s="10"/>
      <c r="H1" s="10"/>
      <c r="I1" s="10"/>
      <c r="J1" s="10"/>
      <c r="K1" s="10"/>
      <c r="L1" s="10"/>
    </row>
    <row r="2" spans="1:22" x14ac:dyDescent="0.35">
      <c r="A2" s="11" t="s">
        <v>0</v>
      </c>
      <c r="B2" s="10"/>
      <c r="C2" s="10"/>
      <c r="D2" s="10"/>
      <c r="E2" s="10"/>
      <c r="F2" s="10"/>
      <c r="G2" s="10"/>
      <c r="H2" s="10"/>
      <c r="I2" s="10"/>
      <c r="J2" s="10"/>
      <c r="K2" s="10"/>
      <c r="L2" s="10"/>
    </row>
    <row r="3" spans="1:22" ht="16" x14ac:dyDescent="0.4">
      <c r="L3" s="191" t="s">
        <v>357</v>
      </c>
    </row>
    <row r="4" spans="1:22" x14ac:dyDescent="0.35">
      <c r="A4" s="189" t="s">
        <v>2</v>
      </c>
      <c r="B4" s="189"/>
      <c r="C4" s="189"/>
      <c r="D4" s="189"/>
      <c r="E4" s="189"/>
      <c r="F4" s="189"/>
      <c r="G4" s="189"/>
      <c r="H4" s="190">
        <v>2021</v>
      </c>
      <c r="I4" s="190">
        <f>H4+1</f>
        <v>2022</v>
      </c>
      <c r="J4" s="190">
        <f>I4+1</f>
        <v>2023</v>
      </c>
      <c r="K4" s="190">
        <f>J4+1</f>
        <v>2024</v>
      </c>
      <c r="L4" s="190">
        <f>K4+1</f>
        <v>2025</v>
      </c>
    </row>
    <row r="5" spans="1:22" x14ac:dyDescent="0.35">
      <c r="D5" s="13" t="s">
        <v>3</v>
      </c>
      <c r="H5" s="6">
        <v>181862</v>
      </c>
      <c r="I5" s="6">
        <v>219308</v>
      </c>
      <c r="J5" s="6">
        <v>315255</v>
      </c>
      <c r="K5" s="6">
        <v>382678</v>
      </c>
      <c r="L5" s="6">
        <v>491058</v>
      </c>
    </row>
    <row r="6" spans="1:22" x14ac:dyDescent="0.35">
      <c r="D6" s="5" t="s">
        <v>4</v>
      </c>
      <c r="H6" s="6">
        <v>232.14</v>
      </c>
      <c r="I6" s="6">
        <v>167</v>
      </c>
      <c r="J6" s="6">
        <v>335</v>
      </c>
      <c r="K6" s="6">
        <v>541</v>
      </c>
      <c r="L6" s="6">
        <v>572</v>
      </c>
    </row>
    <row r="7" spans="1:22" x14ac:dyDescent="0.35">
      <c r="D7" s="8" t="s">
        <v>19</v>
      </c>
      <c r="H7" s="6">
        <f>SUM(H5:H6)</f>
        <v>182094.14</v>
      </c>
      <c r="I7" s="6">
        <f>SUM(I5:I6)</f>
        <v>219475</v>
      </c>
      <c r="J7" s="6">
        <f>SUM(J5:J6)</f>
        <v>315590</v>
      </c>
      <c r="K7" s="6">
        <f>SUM(K5:K6)</f>
        <v>383219</v>
      </c>
      <c r="L7" s="6">
        <f>SUM(L5:L6)</f>
        <v>491630</v>
      </c>
    </row>
    <row r="8" spans="1:22" x14ac:dyDescent="0.35">
      <c r="D8" s="5" t="s">
        <v>5</v>
      </c>
      <c r="H8" s="6" t="s">
        <v>22</v>
      </c>
      <c r="I8" s="6" t="s">
        <v>22</v>
      </c>
      <c r="J8" s="6" t="s">
        <v>22</v>
      </c>
      <c r="K8" s="6" t="s">
        <v>22</v>
      </c>
      <c r="L8" s="6" t="s">
        <v>22</v>
      </c>
      <c r="R8" s="91">
        <v>1</v>
      </c>
    </row>
    <row r="9" spans="1:22" x14ac:dyDescent="0.35">
      <c r="D9" s="5" t="s">
        <v>6</v>
      </c>
      <c r="H9" s="5">
        <v>163048</v>
      </c>
      <c r="I9" s="6">
        <v>195294</v>
      </c>
      <c r="J9" s="6">
        <v>273003</v>
      </c>
      <c r="K9" s="6">
        <v>344801</v>
      </c>
      <c r="L9" s="6">
        <v>493209</v>
      </c>
    </row>
    <row r="10" spans="1:22" x14ac:dyDescent="0.35">
      <c r="D10" s="5" t="s">
        <v>7</v>
      </c>
      <c r="H10" s="6">
        <v>5409.57</v>
      </c>
      <c r="I10" s="6">
        <v>12870</v>
      </c>
      <c r="J10" s="6">
        <v>30265</v>
      </c>
      <c r="K10" s="6">
        <v>19158</v>
      </c>
      <c r="L10" s="6">
        <v>27207</v>
      </c>
      <c r="P10" s="6"/>
      <c r="Q10" s="6"/>
      <c r="R10" s="71"/>
      <c r="S10" s="71"/>
      <c r="T10" s="71"/>
    </row>
    <row r="11" spans="1:22" x14ac:dyDescent="0.35">
      <c r="D11" s="5" t="s">
        <v>257</v>
      </c>
      <c r="H11" s="6">
        <v>-9176.91</v>
      </c>
      <c r="I11" s="6">
        <v>-10672</v>
      </c>
      <c r="J11" s="6">
        <v>-21627</v>
      </c>
      <c r="K11" s="6">
        <v>-21978</v>
      </c>
      <c r="L11" s="6">
        <v>-79148</v>
      </c>
    </row>
    <row r="12" spans="1:22" x14ac:dyDescent="0.35">
      <c r="D12" s="5" t="s">
        <v>8</v>
      </c>
      <c r="H12" s="6">
        <v>1865.12</v>
      </c>
      <c r="I12" s="6">
        <v>2046</v>
      </c>
      <c r="J12" s="6">
        <v>3891</v>
      </c>
      <c r="K12" s="6">
        <v>5403</v>
      </c>
      <c r="L12" s="6">
        <v>6749</v>
      </c>
      <c r="T12" s="6"/>
    </row>
    <row r="13" spans="1:22" x14ac:dyDescent="0.35">
      <c r="D13" s="5" t="s">
        <v>23</v>
      </c>
      <c r="H13" s="6">
        <v>3328.13</v>
      </c>
      <c r="I13" s="6">
        <v>4513</v>
      </c>
      <c r="J13" s="6">
        <v>5842</v>
      </c>
      <c r="K13" s="6">
        <v>6818</v>
      </c>
      <c r="L13" s="6">
        <v>9340</v>
      </c>
    </row>
    <row r="14" spans="1:22" x14ac:dyDescent="0.35">
      <c r="D14" s="5" t="s">
        <v>9</v>
      </c>
      <c r="H14" s="6">
        <v>2290.5700000000002</v>
      </c>
      <c r="I14" s="6">
        <v>2618</v>
      </c>
      <c r="J14" s="6">
        <v>3492</v>
      </c>
      <c r="K14" s="6">
        <v>3633</v>
      </c>
      <c r="L14" s="6">
        <v>4107</v>
      </c>
      <c r="R14" s="6"/>
      <c r="S14" s="6"/>
      <c r="T14" s="6"/>
      <c r="U14" s="6"/>
      <c r="V14" s="6"/>
    </row>
    <row r="15" spans="1:22" x14ac:dyDescent="0.35">
      <c r="D15" s="5" t="s">
        <v>10</v>
      </c>
      <c r="H15" s="6">
        <v>946.99</v>
      </c>
      <c r="I15" s="6">
        <v>965</v>
      </c>
      <c r="J15" s="6">
        <v>1339</v>
      </c>
      <c r="K15" s="6">
        <v>1636</v>
      </c>
      <c r="L15" s="6">
        <v>2369</v>
      </c>
    </row>
    <row r="16" spans="1:22" x14ac:dyDescent="0.35">
      <c r="D16" s="5" t="s">
        <v>11</v>
      </c>
      <c r="H16" s="6">
        <v>2685.74</v>
      </c>
      <c r="I16" s="6">
        <v>6638</v>
      </c>
      <c r="J16" s="6">
        <v>8591</v>
      </c>
      <c r="K16" s="6">
        <v>7239</v>
      </c>
      <c r="L16" s="6">
        <v>11805</v>
      </c>
    </row>
    <row r="17" spans="1:25" x14ac:dyDescent="0.35">
      <c r="D17" s="8" t="s">
        <v>12</v>
      </c>
      <c r="H17" s="5">
        <f>SUM(H9:H16)</f>
        <v>170397.21</v>
      </c>
      <c r="I17" s="5">
        <f>SUM(I9:I16)</f>
        <v>214272</v>
      </c>
      <c r="J17" s="5">
        <f>SUM(J9:J16)</f>
        <v>304796</v>
      </c>
      <c r="K17" s="5">
        <f>SUM(K9:K16)</f>
        <v>366710</v>
      </c>
      <c r="L17" s="5">
        <f>SUM(L9:L16)</f>
        <v>475638</v>
      </c>
      <c r="R17" s="6"/>
      <c r="S17" s="6"/>
      <c r="T17" s="6"/>
      <c r="U17" s="6"/>
      <c r="V17" s="6"/>
      <c r="W17" s="6"/>
      <c r="X17" s="6"/>
    </row>
    <row r="18" spans="1:25" x14ac:dyDescent="0.35">
      <c r="D18" s="5" t="s">
        <v>20</v>
      </c>
      <c r="H18" s="6">
        <f>H7-H17</f>
        <v>11696.930000000022</v>
      </c>
      <c r="I18" s="6">
        <f>I7-I17</f>
        <v>5203</v>
      </c>
      <c r="J18" s="6">
        <f>J7-J17</f>
        <v>10794</v>
      </c>
      <c r="K18" s="6">
        <f>K7-K17</f>
        <v>16509</v>
      </c>
      <c r="L18" s="6">
        <f>L7-L17</f>
        <v>15992</v>
      </c>
      <c r="U18" s="7"/>
      <c r="V18" s="8"/>
      <c r="W18" s="7"/>
      <c r="X18" s="7"/>
      <c r="Y18" s="7"/>
    </row>
    <row r="19" spans="1:25" x14ac:dyDescent="0.35">
      <c r="D19" s="5" t="s">
        <v>13</v>
      </c>
      <c r="H19" s="6" t="s">
        <v>22</v>
      </c>
      <c r="I19" s="6" t="s">
        <v>22</v>
      </c>
      <c r="J19" s="6" t="s">
        <v>22</v>
      </c>
      <c r="K19" s="6" t="s">
        <v>22</v>
      </c>
      <c r="L19" s="6" t="s">
        <v>22</v>
      </c>
    </row>
    <row r="20" spans="1:25" x14ac:dyDescent="0.35">
      <c r="D20" s="5" t="s">
        <v>14</v>
      </c>
      <c r="H20" s="6">
        <v>3026.75</v>
      </c>
      <c r="I20" s="5">
        <v>1379</v>
      </c>
      <c r="J20" s="6">
        <v>2864</v>
      </c>
      <c r="K20" s="6">
        <v>4207</v>
      </c>
      <c r="L20" s="6">
        <v>4175</v>
      </c>
    </row>
    <row r="21" spans="1:25" x14ac:dyDescent="0.35">
      <c r="D21" s="5" t="s">
        <v>15</v>
      </c>
      <c r="H21" s="6">
        <v>38.28</v>
      </c>
      <c r="I21" s="6" t="s">
        <v>22</v>
      </c>
      <c r="J21" s="6">
        <v>79</v>
      </c>
      <c r="K21" s="6" t="s">
        <v>22</v>
      </c>
      <c r="L21" s="6">
        <v>69</v>
      </c>
    </row>
    <row r="22" spans="1:25" x14ac:dyDescent="0.35">
      <c r="D22" s="5" t="s">
        <v>16</v>
      </c>
      <c r="H22" s="6">
        <v>-26.3</v>
      </c>
      <c r="I22" s="5">
        <v>-31</v>
      </c>
      <c r="J22" s="6">
        <v>-123</v>
      </c>
      <c r="K22" s="6">
        <v>-23</v>
      </c>
      <c r="L22" s="6">
        <v>-122</v>
      </c>
    </row>
    <row r="23" spans="1:25" x14ac:dyDescent="0.35">
      <c r="D23" s="8" t="s">
        <v>17</v>
      </c>
      <c r="E23" s="8"/>
      <c r="F23" s="8"/>
      <c r="G23" s="8"/>
      <c r="H23" s="7">
        <f>SUM(H20:H22)</f>
        <v>3038.73</v>
      </c>
      <c r="I23" s="7">
        <f>SUM(I20:I22)</f>
        <v>1348</v>
      </c>
      <c r="J23" s="7">
        <f>SUM(J20:J22)</f>
        <v>2820</v>
      </c>
      <c r="K23" s="7">
        <f>SUM(K20:K22)</f>
        <v>4184</v>
      </c>
      <c r="L23" s="7">
        <f>SUM(L20:L22)</f>
        <v>4122</v>
      </c>
    </row>
    <row r="24" spans="1:25" x14ac:dyDescent="0.35">
      <c r="D24" s="8" t="s">
        <v>21</v>
      </c>
      <c r="E24" s="8"/>
      <c r="F24" s="8"/>
      <c r="G24" s="8"/>
      <c r="H24" s="7">
        <f>H18-H23</f>
        <v>8658.2000000000226</v>
      </c>
      <c r="I24" s="7">
        <f>I18-I23</f>
        <v>3855</v>
      </c>
      <c r="J24" s="7">
        <f>J18-J23</f>
        <v>7974</v>
      </c>
      <c r="K24" s="7">
        <f>K18-K23</f>
        <v>12325</v>
      </c>
      <c r="L24" s="7">
        <f>L18-L23</f>
        <v>11870</v>
      </c>
      <c r="T24" s="7"/>
      <c r="U24" s="8"/>
      <c r="V24" s="7"/>
      <c r="W24" s="7"/>
      <c r="X24" s="7"/>
    </row>
    <row r="25" spans="1:25" x14ac:dyDescent="0.35">
      <c r="D25" s="5" t="s">
        <v>18</v>
      </c>
    </row>
    <row r="27" spans="1:25" s="14" customFormat="1" ht="14.5" x14ac:dyDescent="0.35">
      <c r="A27" s="12" t="s">
        <v>24</v>
      </c>
      <c r="B27" s="12"/>
      <c r="C27" s="12"/>
      <c r="D27" s="12"/>
      <c r="E27" s="12"/>
      <c r="F27" s="12"/>
      <c r="G27" s="12"/>
      <c r="H27" s="3">
        <v>2021</v>
      </c>
      <c r="I27" s="3">
        <f>H27+1</f>
        <v>2022</v>
      </c>
      <c r="J27" s="3">
        <f>I27+1</f>
        <v>2023</v>
      </c>
      <c r="K27" s="3">
        <f>J27+1</f>
        <v>2024</v>
      </c>
      <c r="L27" s="3">
        <f>K27+1</f>
        <v>2025</v>
      </c>
    </row>
    <row r="28" spans="1:25" x14ac:dyDescent="0.35">
      <c r="C28" s="8" t="s">
        <v>25</v>
      </c>
      <c r="D28" s="8"/>
    </row>
    <row r="29" spans="1:25" x14ac:dyDescent="0.35">
      <c r="D29" s="5" t="s">
        <v>26</v>
      </c>
    </row>
    <row r="30" spans="1:25" x14ac:dyDescent="0.35">
      <c r="D30" s="5" t="s">
        <v>27</v>
      </c>
      <c r="H30" s="5">
        <v>6860.97</v>
      </c>
      <c r="I30" s="5">
        <v>7290</v>
      </c>
      <c r="J30" s="5">
        <v>9902</v>
      </c>
      <c r="K30" s="5">
        <v>12265</v>
      </c>
      <c r="L30" s="6">
        <v>15369</v>
      </c>
    </row>
    <row r="31" spans="1:25" x14ac:dyDescent="0.35">
      <c r="D31" s="5" t="s">
        <v>28</v>
      </c>
      <c r="H31" s="5">
        <v>227.96</v>
      </c>
      <c r="I31" s="5">
        <v>684</v>
      </c>
      <c r="J31" s="5">
        <v>160</v>
      </c>
      <c r="K31" s="5">
        <v>236</v>
      </c>
      <c r="L31" s="6">
        <v>1127</v>
      </c>
    </row>
    <row r="32" spans="1:25" x14ac:dyDescent="0.35">
      <c r="D32" s="5" t="s">
        <v>29</v>
      </c>
      <c r="H32" s="5">
        <v>74.45</v>
      </c>
      <c r="I32" s="5">
        <v>85</v>
      </c>
      <c r="J32" s="5">
        <v>98</v>
      </c>
      <c r="K32" s="5">
        <v>160</v>
      </c>
      <c r="L32" s="6">
        <v>166</v>
      </c>
    </row>
    <row r="33" spans="4:25" x14ac:dyDescent="0.35">
      <c r="D33" s="5" t="s">
        <v>30</v>
      </c>
      <c r="H33" s="5">
        <v>943.63</v>
      </c>
      <c r="I33" s="5">
        <v>1069</v>
      </c>
      <c r="J33" s="5">
        <v>2013</v>
      </c>
      <c r="K33" s="5">
        <v>2928</v>
      </c>
      <c r="L33" s="6">
        <v>4526</v>
      </c>
    </row>
    <row r="34" spans="4:25" x14ac:dyDescent="0.35">
      <c r="D34" s="5" t="s">
        <v>31</v>
      </c>
      <c r="H34" s="6" t="s">
        <v>22</v>
      </c>
      <c r="I34" s="6" t="s">
        <v>22</v>
      </c>
      <c r="J34" s="6" t="s">
        <v>22</v>
      </c>
      <c r="K34" s="6" t="s">
        <v>22</v>
      </c>
      <c r="L34" s="6" t="s">
        <v>22</v>
      </c>
      <c r="U34" s="8"/>
      <c r="V34" s="8"/>
      <c r="W34" s="8"/>
      <c r="X34" s="8"/>
      <c r="Y34" s="7"/>
    </row>
    <row r="35" spans="4:25" x14ac:dyDescent="0.35">
      <c r="D35" s="5" t="s">
        <v>44</v>
      </c>
      <c r="H35" s="5">
        <v>38.6</v>
      </c>
      <c r="I35" s="5">
        <v>41</v>
      </c>
      <c r="J35" s="5">
        <v>37</v>
      </c>
      <c r="K35" s="5">
        <v>40</v>
      </c>
      <c r="L35" s="6">
        <v>43</v>
      </c>
    </row>
    <row r="36" spans="4:25" x14ac:dyDescent="0.35">
      <c r="D36" s="5" t="s">
        <v>32</v>
      </c>
      <c r="H36" s="5">
        <v>85.05</v>
      </c>
      <c r="I36" s="5">
        <v>111</v>
      </c>
      <c r="J36" s="5">
        <v>238</v>
      </c>
      <c r="K36" s="5">
        <v>250</v>
      </c>
      <c r="L36" s="6">
        <v>400</v>
      </c>
    </row>
    <row r="37" spans="4:25" x14ac:dyDescent="0.35">
      <c r="D37" s="5" t="s">
        <v>33</v>
      </c>
      <c r="H37" s="5">
        <v>1034.6600000000001</v>
      </c>
      <c r="I37" s="5">
        <v>1311</v>
      </c>
      <c r="J37" s="5">
        <v>1221</v>
      </c>
      <c r="K37" s="5">
        <v>1468</v>
      </c>
      <c r="L37" s="6">
        <v>2163</v>
      </c>
    </row>
    <row r="38" spans="4:25" x14ac:dyDescent="0.35">
      <c r="D38" s="8" t="s">
        <v>258</v>
      </c>
      <c r="H38" s="8">
        <f>SUM(H30:H37)</f>
        <v>9265.32</v>
      </c>
      <c r="I38" s="8">
        <f>SUM(I30:I37)</f>
        <v>10591</v>
      </c>
      <c r="J38" s="8">
        <f>SUM(J30:J37)</f>
        <v>13669</v>
      </c>
      <c r="K38" s="8">
        <f>SUM(K30:K37)</f>
        <v>17347</v>
      </c>
      <c r="L38" s="8">
        <f>SUM(L30:L37)</f>
        <v>23794</v>
      </c>
    </row>
    <row r="39" spans="4:25" x14ac:dyDescent="0.35">
      <c r="D39" s="5" t="s">
        <v>34</v>
      </c>
      <c r="H39" s="6" t="s">
        <v>22</v>
      </c>
      <c r="I39" s="6" t="s">
        <v>22</v>
      </c>
      <c r="J39" s="6" t="s">
        <v>22</v>
      </c>
      <c r="K39" s="6" t="s">
        <v>22</v>
      </c>
      <c r="L39" s="6" t="s">
        <v>22</v>
      </c>
    </row>
    <row r="40" spans="4:25" x14ac:dyDescent="0.35">
      <c r="D40" s="5" t="s">
        <v>35</v>
      </c>
      <c r="H40" s="5">
        <v>64923.02</v>
      </c>
      <c r="I40" s="5">
        <v>75002</v>
      </c>
      <c r="J40" s="5">
        <v>98234</v>
      </c>
      <c r="K40" s="6">
        <v>118923</v>
      </c>
      <c r="L40" s="6">
        <v>197857</v>
      </c>
    </row>
    <row r="41" spans="4:25" x14ac:dyDescent="0.35">
      <c r="D41" s="5" t="s">
        <v>36</v>
      </c>
      <c r="H41" s="6" t="s">
        <v>22</v>
      </c>
      <c r="I41" s="6" t="s">
        <v>22</v>
      </c>
      <c r="J41" s="6" t="s">
        <v>22</v>
      </c>
      <c r="K41" s="6" t="s">
        <v>22</v>
      </c>
      <c r="L41" s="6" t="s">
        <v>22</v>
      </c>
    </row>
    <row r="42" spans="4:25" x14ac:dyDescent="0.35">
      <c r="D42" s="5" t="s">
        <v>37</v>
      </c>
      <c r="H42" s="5">
        <v>258.43</v>
      </c>
      <c r="I42" s="5">
        <v>262</v>
      </c>
      <c r="J42" s="5">
        <v>317</v>
      </c>
      <c r="K42" s="6">
        <v>426</v>
      </c>
      <c r="L42" s="6">
        <v>860</v>
      </c>
    </row>
    <row r="43" spans="4:25" x14ac:dyDescent="0.35">
      <c r="D43" s="5" t="s">
        <v>38</v>
      </c>
      <c r="H43" s="5">
        <v>1029.92</v>
      </c>
      <c r="I43" s="5">
        <v>365</v>
      </c>
      <c r="J43" s="5">
        <v>566</v>
      </c>
      <c r="K43" s="6">
        <v>1357</v>
      </c>
      <c r="L43" s="6">
        <v>8856</v>
      </c>
    </row>
    <row r="44" spans="4:25" x14ac:dyDescent="0.35">
      <c r="D44" s="5" t="s">
        <v>39</v>
      </c>
      <c r="H44" s="5">
        <v>662.63</v>
      </c>
      <c r="I44" s="5">
        <v>1294</v>
      </c>
      <c r="J44" s="5">
        <v>7073</v>
      </c>
      <c r="K44" s="6">
        <v>6822</v>
      </c>
      <c r="L44" s="6">
        <v>15323</v>
      </c>
    </row>
    <row r="45" spans="4:25" x14ac:dyDescent="0.35">
      <c r="D45" s="5" t="s">
        <v>45</v>
      </c>
      <c r="H45" s="5">
        <v>53.28</v>
      </c>
      <c r="I45" s="5">
        <v>66</v>
      </c>
      <c r="J45" s="5">
        <v>78</v>
      </c>
      <c r="K45" s="6">
        <v>138</v>
      </c>
      <c r="L45" s="6">
        <v>242</v>
      </c>
      <c r="U45" s="8"/>
      <c r="V45" s="8"/>
      <c r="W45" s="7"/>
      <c r="X45" s="7"/>
      <c r="Y45" s="7"/>
    </row>
    <row r="46" spans="4:25" x14ac:dyDescent="0.35">
      <c r="D46" s="5" t="s">
        <v>40</v>
      </c>
      <c r="H46" s="6" t="s">
        <v>22</v>
      </c>
      <c r="I46" s="6" t="s">
        <v>22</v>
      </c>
      <c r="J46" s="6" t="s">
        <v>22</v>
      </c>
      <c r="K46" s="6" t="s">
        <v>22</v>
      </c>
      <c r="L46" s="6">
        <v>439</v>
      </c>
    </row>
    <row r="47" spans="4:25" x14ac:dyDescent="0.35">
      <c r="D47" s="5" t="s">
        <v>41</v>
      </c>
      <c r="H47" s="5">
        <v>1299.99</v>
      </c>
      <c r="I47" s="5">
        <v>2932</v>
      </c>
      <c r="J47" s="6">
        <v>4719</v>
      </c>
      <c r="K47" s="6">
        <v>3097</v>
      </c>
      <c r="L47" s="6">
        <v>8551</v>
      </c>
    </row>
    <row r="48" spans="4:25" x14ac:dyDescent="0.35">
      <c r="D48" s="8" t="s">
        <v>42</v>
      </c>
      <c r="H48" s="8">
        <f>SUM(H40:H47)</f>
        <v>68227.27</v>
      </c>
      <c r="I48" s="8">
        <f>SUM(I40:I47)</f>
        <v>79921</v>
      </c>
      <c r="J48" s="8">
        <f>SUM(J40:J47)</f>
        <v>110987</v>
      </c>
      <c r="K48" s="8">
        <f>SUM(K40:K47)</f>
        <v>130763</v>
      </c>
      <c r="L48" s="8">
        <f>SUM(L40:L47)</f>
        <v>232128</v>
      </c>
    </row>
    <row r="49" spans="3:25" x14ac:dyDescent="0.35">
      <c r="D49" s="8" t="s">
        <v>43</v>
      </c>
      <c r="H49" s="8">
        <f>SUM(H38,H48)</f>
        <v>77492.59</v>
      </c>
      <c r="I49" s="8">
        <f>SUM(I38,I48)</f>
        <v>90512</v>
      </c>
      <c r="J49" s="8">
        <f>SUM(J38,J48)</f>
        <v>124656</v>
      </c>
      <c r="K49" s="8">
        <f>SUM(K38,K48)</f>
        <v>148110</v>
      </c>
      <c r="L49" s="8">
        <f>SUM(L38,L48)</f>
        <v>255922</v>
      </c>
      <c r="U49" s="8"/>
      <c r="V49" s="8"/>
      <c r="W49" s="7"/>
      <c r="X49" s="7"/>
      <c r="Y49" s="7"/>
    </row>
    <row r="50" spans="3:25" x14ac:dyDescent="0.35">
      <c r="C50" s="8" t="s">
        <v>46</v>
      </c>
    </row>
    <row r="51" spans="3:25" x14ac:dyDescent="0.35">
      <c r="D51" s="5" t="s">
        <v>47</v>
      </c>
    </row>
    <row r="52" spans="3:25" x14ac:dyDescent="0.35">
      <c r="D52" s="5" t="s">
        <v>48</v>
      </c>
      <c r="H52" s="5">
        <v>1371.96</v>
      </c>
      <c r="I52" s="5">
        <v>1372</v>
      </c>
      <c r="J52" s="5">
        <v>1372</v>
      </c>
      <c r="K52" s="5">
        <v>2744</v>
      </c>
      <c r="L52" s="6">
        <v>3108</v>
      </c>
    </row>
    <row r="53" spans="3:25" x14ac:dyDescent="0.35">
      <c r="D53" s="5" t="s">
        <v>49</v>
      </c>
      <c r="H53" s="5">
        <v>28419.599999999999</v>
      </c>
      <c r="I53" s="5">
        <v>31055</v>
      </c>
      <c r="J53" s="5">
        <v>37507</v>
      </c>
      <c r="K53" s="5">
        <v>46574</v>
      </c>
      <c r="L53" s="6">
        <v>107127</v>
      </c>
      <c r="U53" s="8"/>
      <c r="V53" s="8"/>
      <c r="W53" s="8"/>
      <c r="X53" s="8"/>
      <c r="Y53" s="7"/>
    </row>
    <row r="54" spans="3:25" x14ac:dyDescent="0.35">
      <c r="D54" s="8" t="s">
        <v>50</v>
      </c>
      <c r="H54" s="8">
        <f>SUM(H52:H53)</f>
        <v>29791.559999999998</v>
      </c>
      <c r="I54" s="8">
        <f>SUM(I52:I53)</f>
        <v>32427</v>
      </c>
      <c r="J54" s="8">
        <f>SUM(J52:J53)</f>
        <v>38879</v>
      </c>
      <c r="K54" s="8">
        <f>SUM(K52:K53)</f>
        <v>49318</v>
      </c>
      <c r="L54" s="8">
        <f>SUM(L52:L53)</f>
        <v>110235</v>
      </c>
    </row>
    <row r="55" spans="3:25" x14ac:dyDescent="0.35">
      <c r="D55" s="5" t="s">
        <v>51</v>
      </c>
    </row>
    <row r="56" spans="3:25" x14ac:dyDescent="0.35">
      <c r="D56" s="5" t="s">
        <v>52</v>
      </c>
    </row>
    <row r="57" spans="3:25" x14ac:dyDescent="0.35">
      <c r="D57" s="5" t="s">
        <v>53</v>
      </c>
      <c r="H57" s="5">
        <v>847.52</v>
      </c>
      <c r="I57" s="5">
        <v>952</v>
      </c>
      <c r="J57" s="6">
        <v>1886</v>
      </c>
      <c r="K57" s="5">
        <v>2390</v>
      </c>
      <c r="L57" s="6">
        <v>3627</v>
      </c>
      <c r="U57" s="8"/>
      <c r="V57" s="8"/>
      <c r="W57" s="7"/>
      <c r="X57" s="8"/>
      <c r="Y57" s="7"/>
    </row>
    <row r="58" spans="3:25" x14ac:dyDescent="0.35">
      <c r="D58" s="5" t="s">
        <v>54</v>
      </c>
      <c r="H58" s="5">
        <v>6167.33</v>
      </c>
      <c r="I58" s="5">
        <v>10606</v>
      </c>
      <c r="J58" s="6">
        <v>13424</v>
      </c>
      <c r="K58" s="5">
        <v>11389</v>
      </c>
      <c r="L58" s="6">
        <v>7198</v>
      </c>
    </row>
    <row r="59" spans="3:25" x14ac:dyDescent="0.35">
      <c r="D59" s="8" t="s">
        <v>55</v>
      </c>
      <c r="H59" s="8">
        <f>SUM(H57:H58)</f>
        <v>7014.85</v>
      </c>
      <c r="I59" s="8">
        <f>SUM(I57:I58)</f>
        <v>11558</v>
      </c>
      <c r="J59" s="8">
        <f>SUM(J57:J58)</f>
        <v>15310</v>
      </c>
      <c r="K59" s="8">
        <f>SUM(K57:K58)</f>
        <v>13779</v>
      </c>
      <c r="L59" s="8">
        <f>SUM(L57:L58)</f>
        <v>10825</v>
      </c>
    </row>
    <row r="60" spans="3:25" x14ac:dyDescent="0.35">
      <c r="D60" s="5" t="s">
        <v>56</v>
      </c>
    </row>
    <row r="61" spans="3:25" x14ac:dyDescent="0.35">
      <c r="D61" s="5" t="s">
        <v>52</v>
      </c>
      <c r="U61" s="8"/>
      <c r="V61" s="8"/>
      <c r="W61" s="7"/>
      <c r="X61" s="7"/>
      <c r="Y61" s="7"/>
    </row>
    <row r="62" spans="3:25" x14ac:dyDescent="0.35">
      <c r="D62" s="5" t="s">
        <v>57</v>
      </c>
      <c r="H62" s="5">
        <v>20690.75</v>
      </c>
      <c r="I62" s="5">
        <v>30070</v>
      </c>
      <c r="J62" s="6">
        <v>41401</v>
      </c>
      <c r="K62" s="5">
        <v>38661</v>
      </c>
      <c r="L62" s="6">
        <v>67860</v>
      </c>
    </row>
    <row r="63" spans="3:25" x14ac:dyDescent="0.35">
      <c r="D63" s="5" t="s">
        <v>58</v>
      </c>
    </row>
    <row r="64" spans="3:25" x14ac:dyDescent="0.35">
      <c r="D64" s="5" t="s">
        <v>59</v>
      </c>
      <c r="H64" s="5">
        <v>743.75</v>
      </c>
      <c r="I64" s="5">
        <v>372</v>
      </c>
      <c r="J64" s="6">
        <v>1296</v>
      </c>
      <c r="K64" s="5">
        <v>612</v>
      </c>
      <c r="L64" s="6">
        <v>1329</v>
      </c>
      <c r="U64" s="8"/>
      <c r="V64" s="8"/>
      <c r="W64" s="7"/>
      <c r="X64" s="7"/>
      <c r="Y64" s="7"/>
    </row>
    <row r="65" spans="1:25" x14ac:dyDescent="0.35">
      <c r="D65" s="5" t="s">
        <v>60</v>
      </c>
      <c r="H65" s="5">
        <v>537.26</v>
      </c>
      <c r="I65" s="5">
        <v>372</v>
      </c>
      <c r="J65" s="6">
        <v>687</v>
      </c>
      <c r="K65" s="5">
        <v>1139</v>
      </c>
      <c r="L65" s="6">
        <v>1978</v>
      </c>
    </row>
    <row r="66" spans="1:25" x14ac:dyDescent="0.35">
      <c r="D66" s="5" t="s">
        <v>61</v>
      </c>
    </row>
    <row r="67" spans="1:25" x14ac:dyDescent="0.35">
      <c r="D67" s="5" t="s">
        <v>62</v>
      </c>
      <c r="H67" s="5">
        <v>325.22000000000003</v>
      </c>
      <c r="I67" s="5">
        <v>354</v>
      </c>
      <c r="J67" s="6">
        <v>386</v>
      </c>
      <c r="K67" s="5">
        <v>752</v>
      </c>
      <c r="L67" s="6">
        <v>1040</v>
      </c>
      <c r="U67" s="8"/>
      <c r="V67" s="8"/>
      <c r="W67" s="7"/>
      <c r="X67" s="7"/>
      <c r="Y67" s="7"/>
    </row>
    <row r="68" spans="1:25" x14ac:dyDescent="0.35">
      <c r="D68" s="5" t="s">
        <v>63</v>
      </c>
      <c r="H68" s="5">
        <v>4665.8999999999996</v>
      </c>
      <c r="I68" s="5">
        <v>781</v>
      </c>
      <c r="J68" s="6">
        <v>1069</v>
      </c>
      <c r="K68" s="5">
        <v>1336</v>
      </c>
      <c r="L68" s="6">
        <v>1578</v>
      </c>
    </row>
    <row r="69" spans="1:25" x14ac:dyDescent="0.35">
      <c r="D69" s="5" t="s">
        <v>64</v>
      </c>
      <c r="H69" s="5">
        <v>13324.07</v>
      </c>
      <c r="I69" s="5">
        <v>14545</v>
      </c>
      <c r="J69" s="6">
        <v>25346</v>
      </c>
      <c r="K69" s="5">
        <v>42212</v>
      </c>
      <c r="L69" s="5">
        <v>61077</v>
      </c>
    </row>
    <row r="70" spans="1:25" x14ac:dyDescent="0.35">
      <c r="D70" s="5" t="s">
        <v>65</v>
      </c>
      <c r="H70" s="5">
        <v>399.24</v>
      </c>
      <c r="I70" s="5">
        <v>33</v>
      </c>
      <c r="J70" s="6">
        <v>282</v>
      </c>
      <c r="K70" s="6">
        <v>301</v>
      </c>
      <c r="L70" s="6" t="s">
        <v>22</v>
      </c>
    </row>
    <row r="71" spans="1:25" x14ac:dyDescent="0.35">
      <c r="D71" s="8" t="s">
        <v>66</v>
      </c>
      <c r="H71" s="8">
        <f>SUM(H62:H70)</f>
        <v>40686.189999999995</v>
      </c>
      <c r="I71" s="8">
        <f>SUM(I62:I70)</f>
        <v>46527</v>
      </c>
      <c r="J71" s="8">
        <f>SUM(J62:J70)</f>
        <v>70467</v>
      </c>
      <c r="K71" s="8">
        <f>SUM(K62:K70)</f>
        <v>85013</v>
      </c>
      <c r="L71" s="8">
        <f>SUM(L62:L70)</f>
        <v>134862</v>
      </c>
    </row>
    <row r="72" spans="1:25" x14ac:dyDescent="0.35">
      <c r="D72" s="8" t="s">
        <v>67</v>
      </c>
      <c r="H72" s="8">
        <f>SUM(H71,H59)</f>
        <v>47701.039999999994</v>
      </c>
      <c r="I72" s="8">
        <f>SUM(I71,I59)</f>
        <v>58085</v>
      </c>
      <c r="J72" s="8">
        <f>SUM(J71,J59)</f>
        <v>85777</v>
      </c>
      <c r="K72" s="8">
        <f>SUM(K71,K59)</f>
        <v>98792</v>
      </c>
      <c r="L72" s="8">
        <f>SUM(L71,L59)</f>
        <v>145687</v>
      </c>
    </row>
    <row r="73" spans="1:25" x14ac:dyDescent="0.35">
      <c r="D73" s="8" t="s">
        <v>68</v>
      </c>
      <c r="H73" s="8">
        <f>SUM(H72,H54)</f>
        <v>77492.599999999991</v>
      </c>
      <c r="I73" s="8">
        <f>SUM(I72,I54)</f>
        <v>90512</v>
      </c>
      <c r="J73" s="8">
        <f>SUM(J72,J54)</f>
        <v>124656</v>
      </c>
      <c r="K73" s="8">
        <f>SUM(K72,K54)</f>
        <v>148110</v>
      </c>
      <c r="L73" s="8">
        <f>SUM(L72,L54)</f>
        <v>255922</v>
      </c>
    </row>
    <row r="75" spans="1:25" s="1" customFormat="1" x14ac:dyDescent="0.35">
      <c r="A75" s="15" t="s">
        <v>69</v>
      </c>
      <c r="B75" s="15"/>
      <c r="C75" s="15"/>
      <c r="D75" s="15"/>
      <c r="E75" s="15"/>
      <c r="F75" s="15"/>
      <c r="G75" s="15"/>
      <c r="H75" s="3">
        <v>2021</v>
      </c>
      <c r="I75" s="3">
        <f>H75+1</f>
        <v>2022</v>
      </c>
      <c r="J75" s="3">
        <f>I75+1</f>
        <v>2023</v>
      </c>
      <c r="K75" s="3">
        <f>J75+1</f>
        <v>2024</v>
      </c>
      <c r="L75" s="3">
        <f>K75+1</f>
        <v>2025</v>
      </c>
      <c r="M75" s="5"/>
      <c r="N75" s="5"/>
      <c r="O75" s="5"/>
      <c r="P75" s="5"/>
      <c r="Q75" s="5"/>
    </row>
    <row r="76" spans="1:25" x14ac:dyDescent="0.35">
      <c r="C76" s="8" t="s">
        <v>86</v>
      </c>
    </row>
    <row r="77" spans="1:25" x14ac:dyDescent="0.35">
      <c r="D77" s="8" t="s">
        <v>87</v>
      </c>
      <c r="H77" s="8">
        <v>11697.15</v>
      </c>
      <c r="I77" s="8">
        <v>5203</v>
      </c>
      <c r="J77" s="8">
        <v>10795</v>
      </c>
      <c r="K77" s="7">
        <v>16508</v>
      </c>
      <c r="L77" s="8">
        <v>15992</v>
      </c>
    </row>
    <row r="78" spans="1:25" x14ac:dyDescent="0.35">
      <c r="D78" s="5" t="s">
        <v>70</v>
      </c>
      <c r="U78" s="8"/>
      <c r="V78" s="8"/>
      <c r="W78" s="8"/>
      <c r="X78" s="7"/>
      <c r="Y78" s="8"/>
    </row>
    <row r="79" spans="1:25" x14ac:dyDescent="0.35">
      <c r="D79" s="5" t="s">
        <v>10</v>
      </c>
      <c r="H79" s="5">
        <v>946.99</v>
      </c>
      <c r="I79" s="5">
        <v>965</v>
      </c>
      <c r="J79" s="5">
        <v>1339</v>
      </c>
      <c r="K79" s="6">
        <v>1636</v>
      </c>
      <c r="L79" s="5">
        <v>2369</v>
      </c>
    </row>
    <row r="80" spans="1:25" x14ac:dyDescent="0.35">
      <c r="D80" s="5" t="s">
        <v>88</v>
      </c>
      <c r="H80" s="5">
        <v>-1.52</v>
      </c>
      <c r="I80" s="5">
        <v>-3</v>
      </c>
      <c r="J80" s="5">
        <v>-20</v>
      </c>
      <c r="K80" s="6">
        <v>-17</v>
      </c>
      <c r="L80" s="5">
        <v>-21</v>
      </c>
    </row>
    <row r="81" spans="3:25" x14ac:dyDescent="0.35">
      <c r="D81" s="5" t="s">
        <v>259</v>
      </c>
      <c r="H81" s="6" t="s">
        <v>22</v>
      </c>
      <c r="I81" s="6" t="s">
        <v>22</v>
      </c>
      <c r="J81" s="6" t="s">
        <v>22</v>
      </c>
      <c r="K81" s="6">
        <v>-48</v>
      </c>
      <c r="L81" s="5">
        <v>65</v>
      </c>
    </row>
    <row r="82" spans="3:25" x14ac:dyDescent="0.35">
      <c r="D82" s="5" t="s">
        <v>105</v>
      </c>
      <c r="H82" s="5">
        <v>-30.47</v>
      </c>
      <c r="I82" s="6" t="s">
        <v>22</v>
      </c>
      <c r="J82" s="6" t="s">
        <v>22</v>
      </c>
      <c r="K82" s="6" t="s">
        <v>22</v>
      </c>
      <c r="L82" s="6" t="s">
        <v>22</v>
      </c>
    </row>
    <row r="83" spans="3:25" x14ac:dyDescent="0.35">
      <c r="D83" s="5" t="s">
        <v>71</v>
      </c>
      <c r="H83" s="5">
        <v>-68.97</v>
      </c>
      <c r="I83" s="5">
        <v>-117</v>
      </c>
      <c r="J83" s="5">
        <v>-280</v>
      </c>
      <c r="K83" s="6">
        <v>-494</v>
      </c>
      <c r="L83" s="5">
        <v>-511</v>
      </c>
    </row>
    <row r="84" spans="3:25" x14ac:dyDescent="0.35">
      <c r="D84" s="5" t="s">
        <v>72</v>
      </c>
      <c r="H84" s="5">
        <v>2290.5700000000002</v>
      </c>
      <c r="I84" s="5">
        <v>2618</v>
      </c>
      <c r="J84" s="5">
        <v>3491</v>
      </c>
      <c r="K84" s="6">
        <v>3633</v>
      </c>
      <c r="L84" s="5">
        <v>4107</v>
      </c>
    </row>
    <row r="85" spans="3:25" x14ac:dyDescent="0.35">
      <c r="D85" s="5" t="s">
        <v>73</v>
      </c>
      <c r="H85" s="5">
        <v>33.35</v>
      </c>
      <c r="I85" s="6" t="s">
        <v>22</v>
      </c>
      <c r="J85" s="5">
        <v>143</v>
      </c>
      <c r="K85" s="6">
        <v>166</v>
      </c>
      <c r="L85" s="5">
        <v>135</v>
      </c>
    </row>
    <row r="86" spans="3:25" x14ac:dyDescent="0.35">
      <c r="D86" s="16" t="s">
        <v>89</v>
      </c>
      <c r="E86" s="17"/>
      <c r="F86" s="17"/>
      <c r="G86" s="17"/>
      <c r="H86" s="16">
        <v>14867.1</v>
      </c>
      <c r="I86" s="16">
        <v>8666</v>
      </c>
      <c r="J86" s="16">
        <v>15467</v>
      </c>
      <c r="K86" s="16">
        <v>21385</v>
      </c>
      <c r="L86" s="16">
        <v>22136</v>
      </c>
    </row>
    <row r="87" spans="3:25" x14ac:dyDescent="0.35">
      <c r="D87" s="8" t="s">
        <v>74</v>
      </c>
    </row>
    <row r="88" spans="3:25" x14ac:dyDescent="0.35">
      <c r="D88" s="5" t="s">
        <v>75</v>
      </c>
      <c r="H88" s="5">
        <v>-8529.8799999999992</v>
      </c>
      <c r="I88" s="5">
        <v>-10079</v>
      </c>
      <c r="J88" s="5">
        <v>-23231</v>
      </c>
      <c r="K88" s="6">
        <v>-20689</v>
      </c>
      <c r="L88" s="5">
        <v>-78934</v>
      </c>
    </row>
    <row r="89" spans="3:25" x14ac:dyDescent="0.35">
      <c r="D89" s="5" t="s">
        <v>76</v>
      </c>
      <c r="H89" s="5">
        <v>-244.81</v>
      </c>
      <c r="I89" s="5">
        <v>-3</v>
      </c>
      <c r="J89" s="5">
        <v>-55</v>
      </c>
      <c r="K89" s="6">
        <v>-109</v>
      </c>
      <c r="L89" s="5">
        <v>-435</v>
      </c>
      <c r="U89" s="8"/>
      <c r="V89" s="8"/>
      <c r="W89" s="8"/>
      <c r="X89" s="7"/>
      <c r="Y89" s="8"/>
    </row>
    <row r="90" spans="3:25" x14ac:dyDescent="0.35">
      <c r="D90" s="5" t="s">
        <v>91</v>
      </c>
      <c r="H90" s="5">
        <v>1166.54</v>
      </c>
      <c r="I90" s="5">
        <v>-1903</v>
      </c>
      <c r="J90" s="5">
        <v>-1754</v>
      </c>
      <c r="K90" s="6">
        <v>1325</v>
      </c>
      <c r="L90" s="5">
        <v>-6557</v>
      </c>
    </row>
    <row r="91" spans="3:25" x14ac:dyDescent="0.35">
      <c r="D91" s="5" t="s">
        <v>77</v>
      </c>
      <c r="H91" s="5">
        <v>6548.99</v>
      </c>
      <c r="I91" s="5">
        <v>-3772</v>
      </c>
      <c r="J91" s="5">
        <v>1845</v>
      </c>
      <c r="K91" s="6">
        <v>16925</v>
      </c>
      <c r="L91" s="5">
        <v>4218</v>
      </c>
    </row>
    <row r="92" spans="3:25" x14ac:dyDescent="0.35">
      <c r="D92" s="5" t="s">
        <v>92</v>
      </c>
      <c r="H92" s="5">
        <v>-5544.98</v>
      </c>
      <c r="I92" s="5">
        <v>931</v>
      </c>
      <c r="J92" s="5">
        <v>11466</v>
      </c>
      <c r="K92" s="6">
        <v>18389</v>
      </c>
      <c r="L92" s="5">
        <v>22158</v>
      </c>
      <c r="X92" s="6"/>
    </row>
    <row r="93" spans="3:25" x14ac:dyDescent="0.35">
      <c r="D93" s="5" t="s">
        <v>78</v>
      </c>
      <c r="H93" s="5">
        <f>SUM(H88:H92,H86)</f>
        <v>8262.9600000000028</v>
      </c>
      <c r="I93" s="5">
        <f>SUM(I88:I92,I86)</f>
        <v>-6160</v>
      </c>
      <c r="J93" s="5">
        <f>SUM(J88:J92,J86)</f>
        <v>3738</v>
      </c>
      <c r="K93" s="5">
        <f>SUM(K88:K92,K86)</f>
        <v>37226</v>
      </c>
      <c r="L93" s="5">
        <f>SUM(L88:L92,L86)</f>
        <v>-37414</v>
      </c>
    </row>
    <row r="94" spans="3:25" x14ac:dyDescent="0.35">
      <c r="D94" s="5" t="s">
        <v>79</v>
      </c>
      <c r="H94" s="5">
        <v>-2747.52</v>
      </c>
      <c r="I94" s="5">
        <v>-1746</v>
      </c>
      <c r="J94" s="5">
        <v>-2693</v>
      </c>
      <c r="K94" s="6">
        <v>-4188</v>
      </c>
      <c r="L94" s="5">
        <v>-4985</v>
      </c>
    </row>
    <row r="95" spans="3:25" x14ac:dyDescent="0.35">
      <c r="D95" s="16" t="s">
        <v>80</v>
      </c>
      <c r="E95" s="17"/>
      <c r="F95" s="17"/>
      <c r="G95" s="17"/>
      <c r="H95" s="16">
        <f>H93+H94</f>
        <v>5515.4400000000023</v>
      </c>
      <c r="I95" s="16">
        <f>I93+I94</f>
        <v>-7906</v>
      </c>
      <c r="J95" s="16">
        <f>J93+J94</f>
        <v>1045</v>
      </c>
      <c r="K95" s="16">
        <f>K93+K94</f>
        <v>33038</v>
      </c>
      <c r="L95" s="16">
        <f>L93+L94</f>
        <v>-42399</v>
      </c>
    </row>
    <row r="96" spans="3:25" x14ac:dyDescent="0.35">
      <c r="C96" s="8" t="s">
        <v>90</v>
      </c>
    </row>
    <row r="97" spans="3:26" x14ac:dyDescent="0.35">
      <c r="D97" s="5" t="s">
        <v>81</v>
      </c>
      <c r="H97" s="5">
        <v>-586.52</v>
      </c>
      <c r="I97" s="5">
        <v>-1603</v>
      </c>
      <c r="J97" s="5">
        <v>-3180</v>
      </c>
      <c r="K97" s="6">
        <v>-3733</v>
      </c>
      <c r="L97" s="5">
        <v>-5832</v>
      </c>
    </row>
    <row r="98" spans="3:26" x14ac:dyDescent="0.35">
      <c r="D98" s="5" t="s">
        <v>82</v>
      </c>
      <c r="H98" s="5">
        <v>3.22</v>
      </c>
      <c r="I98" s="5">
        <v>5</v>
      </c>
      <c r="J98" s="5">
        <v>37</v>
      </c>
      <c r="K98" s="6">
        <v>22</v>
      </c>
      <c r="L98" s="5">
        <v>29</v>
      </c>
    </row>
    <row r="99" spans="3:26" x14ac:dyDescent="0.35">
      <c r="D99" s="5" t="s">
        <v>83</v>
      </c>
      <c r="H99" s="5">
        <v>2277.39</v>
      </c>
      <c r="I99" s="5">
        <v>-631</v>
      </c>
      <c r="J99" s="5">
        <v>-5779</v>
      </c>
      <c r="K99" s="6">
        <v>251</v>
      </c>
      <c r="L99" s="5">
        <v>-8501</v>
      </c>
      <c r="V99" s="8"/>
    </row>
    <row r="100" spans="3:26" x14ac:dyDescent="0.35">
      <c r="D100" s="5" t="s">
        <v>84</v>
      </c>
      <c r="H100" s="5">
        <v>68.97</v>
      </c>
      <c r="I100" s="5">
        <v>117</v>
      </c>
      <c r="J100" s="5">
        <v>280</v>
      </c>
      <c r="K100" s="6">
        <v>494</v>
      </c>
      <c r="L100" s="5">
        <v>511</v>
      </c>
    </row>
    <row r="101" spans="3:26" x14ac:dyDescent="0.35">
      <c r="D101" s="16" t="s">
        <v>85</v>
      </c>
      <c r="E101" s="16"/>
      <c r="F101" s="16"/>
      <c r="G101" s="16"/>
      <c r="H101" s="16">
        <f>SUM(H97:H100)</f>
        <v>1763.06</v>
      </c>
      <c r="I101" s="16">
        <f>SUM(I97:I100)</f>
        <v>-2112</v>
      </c>
      <c r="J101" s="16">
        <f>SUM(J97:J100)</f>
        <v>-8642</v>
      </c>
      <c r="K101" s="16">
        <f>SUM(K97:K100)</f>
        <v>-2966</v>
      </c>
      <c r="L101" s="16">
        <f>SUM(L97:L100)</f>
        <v>-13793</v>
      </c>
    </row>
    <row r="102" spans="3:26" x14ac:dyDescent="0.35">
      <c r="C102" s="8" t="s">
        <v>103</v>
      </c>
      <c r="D102" s="8"/>
    </row>
    <row r="103" spans="3:26" x14ac:dyDescent="0.35">
      <c r="D103" s="5" t="s">
        <v>93</v>
      </c>
      <c r="H103" s="6" t="s">
        <v>22</v>
      </c>
      <c r="I103" s="6" t="s">
        <v>22</v>
      </c>
      <c r="J103" s="6" t="s">
        <v>22</v>
      </c>
      <c r="K103" s="6" t="s">
        <v>22</v>
      </c>
      <c r="L103" s="5">
        <v>51000</v>
      </c>
    </row>
    <row r="104" spans="3:26" x14ac:dyDescent="0.35">
      <c r="D104" s="5" t="s">
        <v>94</v>
      </c>
      <c r="H104" s="6" t="s">
        <v>22</v>
      </c>
      <c r="I104" s="6" t="s">
        <v>22</v>
      </c>
      <c r="J104" s="6" t="s">
        <v>22</v>
      </c>
      <c r="K104" s="6" t="s">
        <v>22</v>
      </c>
      <c r="L104" s="5">
        <v>-224</v>
      </c>
      <c r="V104" s="8"/>
      <c r="W104" s="8"/>
      <c r="X104" s="8"/>
      <c r="Y104" s="8"/>
    </row>
    <row r="105" spans="3:26" x14ac:dyDescent="0.35">
      <c r="D105" s="5" t="s">
        <v>95</v>
      </c>
      <c r="H105" s="8">
        <v>-776.95</v>
      </c>
      <c r="I105" s="8">
        <v>11702</v>
      </c>
      <c r="J105" s="8">
        <v>9406</v>
      </c>
      <c r="K105" s="8">
        <v>-22795</v>
      </c>
      <c r="L105" s="8">
        <v>22290</v>
      </c>
    </row>
    <row r="106" spans="3:26" x14ac:dyDescent="0.35">
      <c r="D106" s="5" t="s">
        <v>96</v>
      </c>
      <c r="H106" s="5">
        <v>-2323.4899999999998</v>
      </c>
      <c r="I106" s="5">
        <v>1755</v>
      </c>
      <c r="J106" s="5">
        <v>3760</v>
      </c>
      <c r="K106" s="5">
        <v>-392</v>
      </c>
      <c r="L106" s="5">
        <v>-2995</v>
      </c>
    </row>
    <row r="107" spans="3:26" x14ac:dyDescent="0.35">
      <c r="D107" s="5" t="s">
        <v>97</v>
      </c>
      <c r="H107" s="5">
        <v>-359.34</v>
      </c>
      <c r="I107" s="5">
        <v>-386</v>
      </c>
      <c r="J107" s="5">
        <v>-586</v>
      </c>
      <c r="K107" s="5">
        <v>-743</v>
      </c>
      <c r="L107" s="5">
        <v>-856</v>
      </c>
    </row>
    <row r="108" spans="3:26" x14ac:dyDescent="0.35">
      <c r="D108" s="5" t="s">
        <v>98</v>
      </c>
      <c r="H108" s="5">
        <v>-2164.4299999999998</v>
      </c>
      <c r="I108" s="5">
        <v>-2481</v>
      </c>
      <c r="J108" s="5">
        <v>-3272</v>
      </c>
      <c r="K108" s="5">
        <v>-3431</v>
      </c>
      <c r="L108" s="5">
        <v>-3878</v>
      </c>
      <c r="V108" s="8"/>
      <c r="W108" s="8"/>
      <c r="X108" s="8"/>
      <c r="Y108" s="8"/>
      <c r="Z108" s="8"/>
    </row>
    <row r="109" spans="3:26" x14ac:dyDescent="0.35">
      <c r="D109" s="5" t="s">
        <v>99</v>
      </c>
      <c r="H109" s="5">
        <v>-823.17</v>
      </c>
      <c r="I109" s="5">
        <v>-1235</v>
      </c>
      <c r="J109" s="5">
        <v>-1509</v>
      </c>
      <c r="K109" s="5">
        <v>-1921</v>
      </c>
      <c r="L109" s="5">
        <v>-1646</v>
      </c>
    </row>
    <row r="110" spans="3:26" x14ac:dyDescent="0.35">
      <c r="D110" s="16" t="s">
        <v>104</v>
      </c>
      <c r="E110" s="17"/>
      <c r="F110" s="17"/>
      <c r="G110" s="17"/>
      <c r="H110" s="16">
        <f>SUM(H103:H109)</f>
        <v>-6447.3799999999992</v>
      </c>
      <c r="I110" s="16">
        <f>SUM(I103:I109)</f>
        <v>9355</v>
      </c>
      <c r="J110" s="16">
        <f>SUM(J103:J109)</f>
        <v>7799</v>
      </c>
      <c r="K110" s="16">
        <f>SUM(K103:K109)</f>
        <v>-29282</v>
      </c>
      <c r="L110" s="16">
        <f>SUM(L103:L109)</f>
        <v>63691</v>
      </c>
      <c r="V110" s="8"/>
      <c r="W110" s="8"/>
      <c r="X110" s="8"/>
      <c r="Y110" s="8"/>
      <c r="Z110" s="8"/>
    </row>
    <row r="111" spans="3:26" x14ac:dyDescent="0.35">
      <c r="D111" s="5" t="s">
        <v>100</v>
      </c>
      <c r="H111" s="5">
        <f>H95+H101+H110</f>
        <v>831.12000000000262</v>
      </c>
      <c r="I111" s="5">
        <f>I95+I101+I110</f>
        <v>-663</v>
      </c>
      <c r="J111" s="5">
        <f>J95+J101+J110</f>
        <v>202</v>
      </c>
      <c r="K111" s="5">
        <f>K95+K101+K110</f>
        <v>790</v>
      </c>
      <c r="L111" s="5">
        <f>L95+L101+L110</f>
        <v>7499</v>
      </c>
    </row>
    <row r="112" spans="3:26" x14ac:dyDescent="0.35">
      <c r="D112" s="5" t="s">
        <v>101</v>
      </c>
      <c r="H112" s="5">
        <v>198.81</v>
      </c>
      <c r="I112" s="5">
        <v>1030</v>
      </c>
      <c r="J112" s="5">
        <v>365</v>
      </c>
      <c r="K112" s="5">
        <v>566</v>
      </c>
      <c r="L112" s="5">
        <v>1357</v>
      </c>
    </row>
    <row r="113" spans="1:23" ht="16" thickBot="1" x14ac:dyDescent="0.4">
      <c r="D113" s="18" t="s">
        <v>102</v>
      </c>
      <c r="E113" s="18"/>
      <c r="F113" s="18"/>
      <c r="G113" s="18"/>
      <c r="H113" s="18">
        <f>SUM(H111:H112)</f>
        <v>1029.9300000000026</v>
      </c>
      <c r="I113" s="18">
        <f>SUM(I111:I112)</f>
        <v>367</v>
      </c>
      <c r="J113" s="18">
        <f>SUM(J111:J112)</f>
        <v>567</v>
      </c>
      <c r="K113" s="18">
        <f>SUM(K111:K112)</f>
        <v>1356</v>
      </c>
      <c r="L113" s="18">
        <f>SUM(L111:L112)</f>
        <v>8856</v>
      </c>
    </row>
    <row r="114" spans="1:23" ht="16" thickTop="1" x14ac:dyDescent="0.35">
      <c r="D114" s="8"/>
    </row>
    <row r="115" spans="1:23" s="1" customFormat="1" x14ac:dyDescent="0.35">
      <c r="A115" s="15" t="s">
        <v>106</v>
      </c>
      <c r="B115" s="15"/>
      <c r="C115" s="15"/>
      <c r="D115" s="88"/>
      <c r="E115" s="88"/>
      <c r="F115" s="88"/>
      <c r="G115" s="88"/>
      <c r="H115" s="87">
        <v>45199</v>
      </c>
      <c r="I115" s="87">
        <v>45291</v>
      </c>
      <c r="J115" s="87">
        <v>45382</v>
      </c>
      <c r="K115" s="87">
        <v>45473</v>
      </c>
      <c r="L115" s="87">
        <v>45565</v>
      </c>
      <c r="M115" s="87">
        <v>45657</v>
      </c>
      <c r="N115" s="87">
        <v>45747</v>
      </c>
      <c r="O115" s="87">
        <v>45838</v>
      </c>
      <c r="P115" s="87">
        <v>45930</v>
      </c>
      <c r="Q115" s="87">
        <v>46022</v>
      </c>
      <c r="R115" s="90" t="s">
        <v>265</v>
      </c>
      <c r="S115" s="92" t="s">
        <v>266</v>
      </c>
      <c r="W115" s="19"/>
    </row>
    <row r="116" spans="1:23" x14ac:dyDescent="0.35">
      <c r="D116" s="4" t="s">
        <v>107</v>
      </c>
      <c r="H116" s="5">
        <v>99344</v>
      </c>
      <c r="I116" s="5">
        <v>89590</v>
      </c>
      <c r="J116" s="5">
        <v>98274</v>
      </c>
      <c r="K116" s="5">
        <v>122206</v>
      </c>
      <c r="L116" s="5">
        <v>118105</v>
      </c>
      <c r="M116" s="5">
        <v>113246</v>
      </c>
      <c r="N116" s="5">
        <v>138073</v>
      </c>
      <c r="O116" s="5">
        <v>155786</v>
      </c>
      <c r="P116" s="5">
        <v>171090</v>
      </c>
      <c r="Q116" s="5">
        <v>240583</v>
      </c>
      <c r="R116" s="5">
        <f>N116*1.45</f>
        <v>200205.85</v>
      </c>
      <c r="S116" s="5">
        <f>SUM(O116:R116)</f>
        <v>767664.85</v>
      </c>
    </row>
    <row r="117" spans="1:23" x14ac:dyDescent="0.35">
      <c r="D117" s="4" t="s">
        <v>264</v>
      </c>
      <c r="H117" s="22"/>
      <c r="I117" s="22"/>
      <c r="J117" s="22"/>
      <c r="K117" s="22"/>
      <c r="L117" s="22"/>
      <c r="M117" s="22"/>
      <c r="N117" s="22"/>
      <c r="O117" s="89">
        <f>O116/K116-1</f>
        <v>0.27478192560103443</v>
      </c>
      <c r="P117" s="89">
        <f>P116/L116-1</f>
        <v>0.44862622242919437</v>
      </c>
      <c r="Q117" s="89">
        <f>Q116/M116-1</f>
        <v>1.124428235875881</v>
      </c>
    </row>
    <row r="118" spans="1:23" x14ac:dyDescent="0.35">
      <c r="D118" s="1" t="s">
        <v>108</v>
      </c>
      <c r="H118" s="5">
        <v>96900</v>
      </c>
      <c r="I118" s="5">
        <v>84489</v>
      </c>
      <c r="J118" s="5">
        <v>93285</v>
      </c>
      <c r="K118" s="5">
        <v>113048</v>
      </c>
      <c r="L118" s="5">
        <v>118850</v>
      </c>
      <c r="M118" s="5">
        <v>104929</v>
      </c>
      <c r="N118" s="5">
        <v>132336</v>
      </c>
      <c r="O118" s="5">
        <v>147089</v>
      </c>
      <c r="P118" s="5">
        <v>160525</v>
      </c>
      <c r="Q118" s="5">
        <v>223371.99999999997</v>
      </c>
    </row>
    <row r="119" spans="1:23" x14ac:dyDescent="0.35">
      <c r="D119" s="4" t="s">
        <v>109</v>
      </c>
      <c r="H119" s="5">
        <v>2444</v>
      </c>
      <c r="I119" s="5">
        <v>5101</v>
      </c>
      <c r="J119" s="5">
        <v>4989</v>
      </c>
      <c r="K119" s="5">
        <v>9158</v>
      </c>
      <c r="L119" s="5">
        <v>-745</v>
      </c>
      <c r="M119" s="5">
        <v>8317</v>
      </c>
      <c r="N119" s="5">
        <v>5737</v>
      </c>
      <c r="O119" s="5">
        <v>8697</v>
      </c>
      <c r="P119" s="5">
        <v>10565</v>
      </c>
      <c r="Q119" s="5">
        <v>17211</v>
      </c>
    </row>
    <row r="120" spans="1:23" x14ac:dyDescent="0.35">
      <c r="D120" s="1" t="s">
        <v>110</v>
      </c>
      <c r="H120" s="5">
        <v>0</v>
      </c>
      <c r="I120" s="5">
        <v>0</v>
      </c>
      <c r="J120" s="5">
        <v>0</v>
      </c>
      <c r="K120" s="5">
        <v>0</v>
      </c>
      <c r="L120" s="5">
        <v>0</v>
      </c>
      <c r="M120" s="5">
        <v>0</v>
      </c>
      <c r="N120" s="5">
        <v>0</v>
      </c>
      <c r="O120" s="5">
        <v>0</v>
      </c>
      <c r="P120" s="5">
        <v>0</v>
      </c>
      <c r="Q120" s="5">
        <v>-238</v>
      </c>
    </row>
    <row r="121" spans="1:23" x14ac:dyDescent="0.35">
      <c r="D121" s="1" t="s">
        <v>111</v>
      </c>
      <c r="H121" s="5">
        <v>367</v>
      </c>
      <c r="I121" s="5">
        <v>403</v>
      </c>
      <c r="J121" s="5">
        <v>523</v>
      </c>
      <c r="K121" s="5">
        <v>540</v>
      </c>
      <c r="L121" s="5">
        <v>551</v>
      </c>
      <c r="M121" s="5">
        <v>536</v>
      </c>
      <c r="N121" s="5">
        <v>742</v>
      </c>
      <c r="O121" s="5">
        <v>682</v>
      </c>
      <c r="P121" s="5">
        <v>1106</v>
      </c>
      <c r="Q121" s="5">
        <v>1054</v>
      </c>
    </row>
    <row r="122" spans="1:23" x14ac:dyDescent="0.35">
      <c r="D122" s="1" t="s">
        <v>112</v>
      </c>
      <c r="H122" s="5">
        <v>851</v>
      </c>
      <c r="I122" s="5">
        <v>923</v>
      </c>
      <c r="J122" s="5">
        <v>861</v>
      </c>
      <c r="K122" s="5">
        <v>899</v>
      </c>
      <c r="L122" s="5">
        <v>1060</v>
      </c>
      <c r="M122" s="5">
        <v>1036</v>
      </c>
      <c r="N122" s="5">
        <v>1112</v>
      </c>
      <c r="O122" s="5">
        <v>1502</v>
      </c>
      <c r="P122" s="5">
        <v>1620</v>
      </c>
      <c r="Q122" s="5">
        <v>1605</v>
      </c>
    </row>
    <row r="123" spans="1:23" x14ac:dyDescent="0.35">
      <c r="D123" s="1" t="s">
        <v>113</v>
      </c>
      <c r="H123" s="5">
        <v>1226</v>
      </c>
      <c r="I123" s="5">
        <v>3775</v>
      </c>
      <c r="J123" s="5">
        <v>3604.9999999999995</v>
      </c>
      <c r="K123" s="5">
        <v>7719</v>
      </c>
      <c r="L123" s="5">
        <v>-2356</v>
      </c>
      <c r="M123" s="5">
        <v>6745</v>
      </c>
      <c r="N123" s="5">
        <v>3883</v>
      </c>
      <c r="O123" s="5">
        <v>6513</v>
      </c>
      <c r="P123" s="5">
        <v>7839</v>
      </c>
      <c r="Q123" s="5">
        <v>14313.999999999998</v>
      </c>
    </row>
    <row r="124" spans="1:23" x14ac:dyDescent="0.35">
      <c r="D124" s="1" t="s">
        <v>114</v>
      </c>
      <c r="H124" s="5">
        <v>387</v>
      </c>
      <c r="I124" s="5">
        <v>975</v>
      </c>
      <c r="J124" s="5">
        <v>781</v>
      </c>
      <c r="K124" s="5">
        <v>2063</v>
      </c>
      <c r="L124" s="5">
        <v>-611</v>
      </c>
      <c r="M124" s="5">
        <v>1926.0000000000002</v>
      </c>
      <c r="N124" s="5">
        <v>743</v>
      </c>
      <c r="O124" s="5">
        <v>1942.0000000000002</v>
      </c>
      <c r="P124" s="5">
        <v>1988</v>
      </c>
      <c r="Q124" s="5">
        <v>3836</v>
      </c>
    </row>
    <row r="125" spans="1:23" x14ac:dyDescent="0.35">
      <c r="D125" s="4" t="s">
        <v>115</v>
      </c>
      <c r="H125" s="5">
        <v>839</v>
      </c>
      <c r="I125" s="5">
        <v>2800</v>
      </c>
      <c r="J125" s="5">
        <v>2824</v>
      </c>
      <c r="K125" s="5">
        <v>5656</v>
      </c>
      <c r="L125" s="5">
        <v>-1745</v>
      </c>
      <c r="M125" s="5">
        <v>4819</v>
      </c>
      <c r="N125" s="5">
        <v>3140</v>
      </c>
      <c r="O125" s="5">
        <v>4571</v>
      </c>
      <c r="P125" s="5">
        <v>5851</v>
      </c>
      <c r="Q125" s="5">
        <v>10478</v>
      </c>
    </row>
    <row r="126" spans="1:23" x14ac:dyDescent="0.35">
      <c r="D126"/>
      <c r="H126"/>
      <c r="I126"/>
      <c r="J126"/>
      <c r="K126"/>
      <c r="L126"/>
      <c r="M126"/>
      <c r="N126"/>
      <c r="O126"/>
      <c r="P126"/>
      <c r="Q126"/>
    </row>
    <row r="127" spans="1:23" x14ac:dyDescent="0.35">
      <c r="D127" s="20"/>
      <c r="H127" s="21"/>
      <c r="I127" s="21"/>
      <c r="J127" s="21"/>
      <c r="K127" s="21"/>
      <c r="L127" s="21"/>
      <c r="M127" s="21"/>
      <c r="N127" s="21"/>
      <c r="O127" s="21"/>
      <c r="P127" s="21"/>
      <c r="Q127" s="21"/>
    </row>
  </sheetData>
  <pageMargins left="0.7" right="0.7" top="0.75" bottom="0.75" header="0.3" footer="0.3"/>
</worksheet>
</file>

<file path=xl/worksheets/sheet4.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46910536-D620-4522-9A1F-B2AF29301885}">
  <dimension ref="A1:AA190"/>
  <sheetViews>
    <sheetView showGridLines="0" zoomScale="60" zoomScaleNormal="60" workbookViewId="0">
      <pane xSplit="6" ySplit="3" topLeftCell="G4" activePane="bottomRight" state="frozen"/>
      <selection pane="topRight" activeCell="G1" sqref="G1"/>
      <selection pane="bottomLeft" activeCell="A4" sqref="A4"/>
      <selection pane="bottomRight" activeCell="P8" sqref="P8"/>
    </sheetView>
  </sheetViews>
  <sheetFormatPr defaultColWidth="11.6328125" defaultRowHeight="15.5" outlineLevelRow="1" x14ac:dyDescent="0.35"/>
  <cols>
    <col min="1" max="3" width="1.26953125" style="1" customWidth="1"/>
    <col min="4" max="4" width="40.6328125" style="1" customWidth="1"/>
    <col min="5" max="6" width="12.6328125" style="1" customWidth="1"/>
    <col min="7" max="7" width="2.6328125" style="1" customWidth="1"/>
    <col min="8" max="12" width="11.6328125" style="1"/>
    <col min="13" max="13" width="11.6328125" style="1" customWidth="1"/>
    <col min="14" max="22" width="11.6328125" style="1"/>
    <col min="23" max="23" width="23" style="1" customWidth="1"/>
    <col min="24" max="24" width="11.6328125" style="1"/>
    <col min="25" max="25" width="16.6328125" style="1" customWidth="1"/>
    <col min="26" max="26" width="11.6328125" style="1"/>
    <col min="27" max="27" width="11.6328125" style="1" customWidth="1"/>
    <col min="28" max="16384" width="11.6328125" style="1"/>
  </cols>
  <sheetData>
    <row r="1" spans="1:23" ht="25.5" x14ac:dyDescent="0.55000000000000004">
      <c r="A1" s="27" t="str">
        <f>Historical!A1</f>
        <v>THANGAMAYIL JEWELLERY LIMITED</v>
      </c>
      <c r="B1" s="2"/>
      <c r="C1" s="2"/>
      <c r="D1" s="2"/>
      <c r="E1" s="2"/>
      <c r="F1" s="2"/>
      <c r="G1" s="2"/>
      <c r="H1" s="310" t="s">
        <v>116</v>
      </c>
      <c r="I1" s="310"/>
      <c r="J1" s="310"/>
      <c r="K1" s="310"/>
      <c r="L1" s="311"/>
      <c r="M1" s="307" t="s">
        <v>117</v>
      </c>
      <c r="N1" s="308"/>
      <c r="O1" s="308"/>
      <c r="P1" s="308"/>
      <c r="Q1" s="308"/>
      <c r="R1" s="308"/>
      <c r="S1" s="308"/>
      <c r="T1" s="308"/>
      <c r="U1" s="308"/>
      <c r="V1" s="308"/>
    </row>
    <row r="2" spans="1:23" x14ac:dyDescent="0.35">
      <c r="A2" s="23" t="s">
        <v>118</v>
      </c>
      <c r="B2" s="2"/>
      <c r="C2" s="2"/>
      <c r="D2" s="2"/>
      <c r="E2" s="2"/>
      <c r="F2" s="2"/>
      <c r="G2" s="2"/>
      <c r="H2" s="24">
        <f>Historical!H4</f>
        <v>2021</v>
      </c>
      <c r="I2" s="24">
        <f>Historical!I4</f>
        <v>2022</v>
      </c>
      <c r="J2" s="24">
        <f>Historical!J4</f>
        <v>2023</v>
      </c>
      <c r="K2" s="24">
        <f>Historical!K4</f>
        <v>2024</v>
      </c>
      <c r="L2" s="25">
        <f>Historical!L4</f>
        <v>2025</v>
      </c>
      <c r="M2" s="26">
        <f t="shared" ref="M2:V2" si="0">L2+1</f>
        <v>2026</v>
      </c>
      <c r="N2" s="26">
        <f t="shared" si="0"/>
        <v>2027</v>
      </c>
      <c r="O2" s="26">
        <f t="shared" si="0"/>
        <v>2028</v>
      </c>
      <c r="P2" s="26">
        <f t="shared" si="0"/>
        <v>2029</v>
      </c>
      <c r="Q2" s="26">
        <f t="shared" si="0"/>
        <v>2030</v>
      </c>
      <c r="R2" s="26">
        <f t="shared" si="0"/>
        <v>2031</v>
      </c>
      <c r="S2" s="26">
        <f t="shared" si="0"/>
        <v>2032</v>
      </c>
      <c r="T2" s="26">
        <f t="shared" si="0"/>
        <v>2033</v>
      </c>
      <c r="U2" s="26">
        <f t="shared" si="0"/>
        <v>2034</v>
      </c>
      <c r="V2" s="26">
        <f t="shared" si="0"/>
        <v>2035</v>
      </c>
    </row>
    <row r="3" spans="1:23" ht="18.5" x14ac:dyDescent="0.45">
      <c r="D3" s="40" t="s">
        <v>138</v>
      </c>
      <c r="E3" s="41"/>
      <c r="F3" s="41"/>
      <c r="G3" s="41"/>
      <c r="H3" s="42" t="str">
        <f>IF(ABS(H73)&gt;1, "error", "Ok")</f>
        <v>Ok</v>
      </c>
      <c r="I3" s="42" t="str">
        <f t="shared" ref="I3:V3" si="1">IF(ABS(I73)&gt;1, "error", "Ok")</f>
        <v>Ok</v>
      </c>
      <c r="J3" s="42" t="str">
        <f t="shared" si="1"/>
        <v>Ok</v>
      </c>
      <c r="K3" s="42" t="str">
        <f t="shared" si="1"/>
        <v>Ok</v>
      </c>
      <c r="L3" s="42" t="str">
        <f t="shared" si="1"/>
        <v>Ok</v>
      </c>
      <c r="M3" s="42" t="str">
        <f t="shared" si="1"/>
        <v>Ok</v>
      </c>
      <c r="N3" s="42" t="str">
        <f t="shared" si="1"/>
        <v>Ok</v>
      </c>
      <c r="O3" s="42" t="str">
        <f t="shared" si="1"/>
        <v>Ok</v>
      </c>
      <c r="P3" s="42" t="str">
        <f t="shared" si="1"/>
        <v>Ok</v>
      </c>
      <c r="Q3" s="42" t="str">
        <f t="shared" si="1"/>
        <v>Ok</v>
      </c>
      <c r="R3" s="42" t="str">
        <f t="shared" si="1"/>
        <v>Ok</v>
      </c>
      <c r="S3" s="42" t="str">
        <f t="shared" si="1"/>
        <v>Ok</v>
      </c>
      <c r="T3" s="42" t="str">
        <f t="shared" si="1"/>
        <v>Ok</v>
      </c>
      <c r="U3" s="42" t="str">
        <f t="shared" si="1"/>
        <v>Ok</v>
      </c>
      <c r="V3" s="42" t="str">
        <f t="shared" si="1"/>
        <v>Ok</v>
      </c>
    </row>
    <row r="4" spans="1:23" ht="16" x14ac:dyDescent="0.4">
      <c r="V4" s="191" t="s">
        <v>357</v>
      </c>
    </row>
    <row r="5" spans="1:23" x14ac:dyDescent="0.35">
      <c r="A5" s="23" t="s">
        <v>358</v>
      </c>
      <c r="B5" s="28"/>
      <c r="C5" s="28"/>
      <c r="D5" s="28"/>
      <c r="E5" s="28"/>
      <c r="F5" s="28"/>
      <c r="G5" s="28"/>
      <c r="H5" s="28"/>
      <c r="I5" s="28"/>
      <c r="J5" s="28"/>
      <c r="K5" s="28"/>
      <c r="L5" s="28"/>
      <c r="M5" s="28"/>
      <c r="N5" s="28"/>
      <c r="O5" s="28"/>
      <c r="P5" s="28"/>
      <c r="Q5" s="28"/>
      <c r="R5" s="28"/>
      <c r="S5" s="28"/>
      <c r="T5" s="28"/>
      <c r="U5" s="28"/>
      <c r="V5" s="28"/>
      <c r="W5" s="224"/>
    </row>
    <row r="7" spans="1:23" ht="16" thickBot="1" x14ac:dyDescent="0.4">
      <c r="D7" s="29" t="s">
        <v>119</v>
      </c>
      <c r="E7" s="30" t="s">
        <v>120</v>
      </c>
      <c r="F7" s="29" t="s">
        <v>121</v>
      </c>
      <c r="G7" s="31">
        <f>IF(E7=Scenario!D5,1,IF(Model!E7=Scenario!D6,2,3))</f>
        <v>3</v>
      </c>
      <c r="H7" s="32"/>
      <c r="I7" s="32"/>
      <c r="J7" s="32"/>
      <c r="K7" s="32"/>
      <c r="L7" s="32"/>
      <c r="M7" s="33"/>
      <c r="N7" s="33"/>
      <c r="O7" s="33"/>
      <c r="P7" s="33"/>
      <c r="Q7" s="33"/>
      <c r="R7" s="33"/>
      <c r="S7" s="33"/>
      <c r="T7" s="33"/>
      <c r="U7" s="33"/>
      <c r="V7" s="33"/>
    </row>
    <row r="8" spans="1:23" x14ac:dyDescent="0.35">
      <c r="D8" s="1" t="s">
        <v>122</v>
      </c>
      <c r="E8" s="34"/>
      <c r="F8" s="1" t="s">
        <v>123</v>
      </c>
      <c r="H8" s="37" t="s">
        <v>22</v>
      </c>
      <c r="I8" s="35">
        <f>I$25/H$25-1</f>
        <v>0.20590337728607411</v>
      </c>
      <c r="J8" s="35">
        <f>J$25/I$25-1</f>
        <v>0.43749886005070504</v>
      </c>
      <c r="K8" s="35">
        <f>K$25/J$25-1</f>
        <v>0.21386813849106279</v>
      </c>
      <c r="L8" s="35">
        <f>L$25/K$25-1</f>
        <v>0.28321460862657388</v>
      </c>
      <c r="M8" s="35">
        <f>(M25/L25)-1</f>
        <v>0.56328753426275502</v>
      </c>
      <c r="N8" s="35" cm="1">
        <f t="array" ref="N8:V8">CHOOSE($G$7,Scenario!$I$5:$Q$5,Scenario!$I$6:$Q$6,Scenario!$I$7:$Q$7)</f>
        <v>0.105</v>
      </c>
      <c r="O8" s="35">
        <v>0.09</v>
      </c>
      <c r="P8" s="35">
        <v>0.08</v>
      </c>
      <c r="Q8" s="35">
        <v>7.0000000000000007E-2</v>
      </c>
      <c r="R8" s="35">
        <v>0.06</v>
      </c>
      <c r="S8" s="35">
        <v>5.5E-2</v>
      </c>
      <c r="T8" s="35">
        <v>0.05</v>
      </c>
      <c r="U8" s="35">
        <v>4.4999999999999998E-2</v>
      </c>
      <c r="V8" s="35">
        <v>0.04</v>
      </c>
    </row>
    <row r="9" spans="1:23" x14ac:dyDescent="0.35">
      <c r="D9" s="1" t="s">
        <v>124</v>
      </c>
      <c r="E9" s="34"/>
      <c r="F9" s="1" t="s">
        <v>123</v>
      </c>
      <c r="H9" s="35">
        <f>-H$26/H$25</f>
        <v>0.88608824273350117</v>
      </c>
      <c r="I9" s="35">
        <f>-I$26/I$25</f>
        <v>0.90985280974702243</v>
      </c>
      <c r="J9" s="35">
        <f>-J$26/J$25</f>
        <v>0.90571759369399374</v>
      </c>
      <c r="K9" s="35">
        <f>-K$26/K$25</f>
        <v>0.90777102420311595</v>
      </c>
      <c r="L9" s="35">
        <f>-L$26/L$25</f>
        <v>0.91235047591119578</v>
      </c>
      <c r="M9" s="35">
        <f>AVERAGE($H9:$L9)</f>
        <v>0.9043560292577657</v>
      </c>
      <c r="N9" s="35">
        <f t="shared" ref="N9:V19" si="2">AVERAGE($H9:$L9)</f>
        <v>0.9043560292577657</v>
      </c>
      <c r="O9" s="35">
        <f t="shared" si="2"/>
        <v>0.9043560292577657</v>
      </c>
      <c r="P9" s="35">
        <f t="shared" si="2"/>
        <v>0.9043560292577657</v>
      </c>
      <c r="Q9" s="35">
        <f t="shared" si="2"/>
        <v>0.9043560292577657</v>
      </c>
      <c r="R9" s="35">
        <f t="shared" si="2"/>
        <v>0.9043560292577657</v>
      </c>
      <c r="S9" s="35">
        <f t="shared" si="2"/>
        <v>0.9043560292577657</v>
      </c>
      <c r="T9" s="35">
        <f t="shared" si="2"/>
        <v>0.9043560292577657</v>
      </c>
      <c r="U9" s="35">
        <f t="shared" si="2"/>
        <v>0.9043560292577657</v>
      </c>
      <c r="V9" s="35">
        <f t="shared" si="2"/>
        <v>0.9043560292577657</v>
      </c>
    </row>
    <row r="10" spans="1:23" x14ac:dyDescent="0.35">
      <c r="D10" s="1" t="s">
        <v>125</v>
      </c>
      <c r="E10" s="34"/>
      <c r="F10" s="1" t="s">
        <v>123</v>
      </c>
      <c r="H10" s="35">
        <f>-H$29/H$25</f>
        <v>1.8300304626584992E-2</v>
      </c>
      <c r="I10" s="35">
        <f>-I$29/I$25</f>
        <v>2.0578364674339284E-2</v>
      </c>
      <c r="J10" s="35">
        <f>-J$29/J$25</f>
        <v>1.8531030435679052E-2</v>
      </c>
      <c r="K10" s="35">
        <f>-K$29/K$25</f>
        <v>1.781654550300775E-2</v>
      </c>
      <c r="L10" s="35">
        <f>-L$29/L$25</f>
        <v>1.9020156478460792E-2</v>
      </c>
      <c r="M10" s="35">
        <f t="shared" ref="M10:M19" si="3">AVERAGE($H10:$L10)</f>
        <v>1.8849280343614376E-2</v>
      </c>
      <c r="N10" s="35">
        <f t="shared" si="2"/>
        <v>1.8849280343614376E-2</v>
      </c>
      <c r="O10" s="35">
        <f t="shared" si="2"/>
        <v>1.8849280343614376E-2</v>
      </c>
      <c r="P10" s="35">
        <f t="shared" si="2"/>
        <v>1.8849280343614376E-2</v>
      </c>
      <c r="Q10" s="35">
        <f t="shared" si="2"/>
        <v>1.8849280343614376E-2</v>
      </c>
      <c r="R10" s="35">
        <f t="shared" si="2"/>
        <v>1.8849280343614376E-2</v>
      </c>
      <c r="S10" s="35">
        <f t="shared" si="2"/>
        <v>1.8849280343614376E-2</v>
      </c>
      <c r="T10" s="35">
        <f t="shared" si="2"/>
        <v>1.8849280343614376E-2</v>
      </c>
      <c r="U10" s="35">
        <f t="shared" si="2"/>
        <v>1.8849280343614376E-2</v>
      </c>
      <c r="V10" s="35">
        <f t="shared" si="2"/>
        <v>1.8849280343614376E-2</v>
      </c>
    </row>
    <row r="11" spans="1:23" x14ac:dyDescent="0.35">
      <c r="D11" s="1" t="s">
        <v>126</v>
      </c>
      <c r="E11" s="34"/>
      <c r="F11" s="1" t="s">
        <v>123</v>
      </c>
      <c r="H11" s="82">
        <f>-H$30/H$25</f>
        <v>1.4768010909370841E-2</v>
      </c>
      <c r="I11" s="82">
        <f>-I$30/I$25</f>
        <v>3.026793368230981E-2</v>
      </c>
      <c r="J11" s="82">
        <f>-J$30/J$25</f>
        <v>2.7250955575645112E-2</v>
      </c>
      <c r="K11" s="82">
        <f>-K$30/K$25</f>
        <v>1.8916687136443695E-2</v>
      </c>
      <c r="L11" s="82">
        <f>-L$30/L$25</f>
        <v>2.4039930110088828E-2</v>
      </c>
      <c r="M11" s="35">
        <f t="shared" si="3"/>
        <v>2.3048703482771656E-2</v>
      </c>
      <c r="N11" s="35">
        <f t="shared" si="2"/>
        <v>2.3048703482771656E-2</v>
      </c>
      <c r="O11" s="35">
        <f t="shared" si="2"/>
        <v>2.3048703482771656E-2</v>
      </c>
      <c r="P11" s="35">
        <f t="shared" si="2"/>
        <v>2.3048703482771656E-2</v>
      </c>
      <c r="Q11" s="35">
        <f t="shared" si="2"/>
        <v>2.3048703482771656E-2</v>
      </c>
      <c r="R11" s="35">
        <f t="shared" si="2"/>
        <v>2.3048703482771656E-2</v>
      </c>
      <c r="S11" s="35">
        <f t="shared" si="2"/>
        <v>2.3048703482771656E-2</v>
      </c>
      <c r="T11" s="35">
        <f t="shared" si="2"/>
        <v>2.3048703482771656E-2</v>
      </c>
      <c r="U11" s="35">
        <f t="shared" si="2"/>
        <v>2.3048703482771656E-2</v>
      </c>
      <c r="V11" s="35">
        <f t="shared" si="2"/>
        <v>2.3048703482771656E-2</v>
      </c>
    </row>
    <row r="12" spans="1:23" x14ac:dyDescent="0.35">
      <c r="D12" s="1" t="s">
        <v>127</v>
      </c>
      <c r="E12" s="34"/>
      <c r="F12" s="1" t="s">
        <v>123</v>
      </c>
      <c r="H12" s="37" t="s">
        <v>22</v>
      </c>
      <c r="I12" s="35">
        <f>-I$32/I$115</f>
        <v>0.1190327876738773</v>
      </c>
      <c r="J12" s="35">
        <f>-J$32/J$115</f>
        <v>0.14669149868536371</v>
      </c>
      <c r="K12" s="35">
        <f>-K$32/K$115</f>
        <v>0.13439579397026205</v>
      </c>
      <c r="L12" s="35">
        <f>-L$32/L$115</f>
        <v>0.15196612996343575</v>
      </c>
      <c r="M12" s="35">
        <f>I12 + IF(MOD(COLUMN(J12)-COLUMN($I$12), 3)=1, 0.02, 0)</f>
        <v>0.13903278767387731</v>
      </c>
      <c r="N12" s="35">
        <f>I12 + IF(MOD(COLUMN(J12)-COLUMN($I$12), 3)=1, 0.02, 0)</f>
        <v>0.13903278767387731</v>
      </c>
      <c r="O12" s="35">
        <f>I12 + IF(MOD(COLUMN(J12)-COLUMN($I$12), 3)=1, 0.02, 0)</f>
        <v>0.13903278767387731</v>
      </c>
      <c r="P12" s="35">
        <f>L12 + IF(MOD(COLUMN(M12)-COLUMN($I$12), 3)=1, 0.02, 0)</f>
        <v>0.17196612996343574</v>
      </c>
      <c r="Q12" s="35">
        <f>L12 + IF(MOD(COLUMN(M12)-COLUMN($I$12), 3)=1, 0.02, 0)</f>
        <v>0.17196612996343574</v>
      </c>
      <c r="R12" s="35">
        <f>L12 + IF(MOD(COLUMN(M12)-COLUMN($I$12), 3)=1, 0.02, 0)</f>
        <v>0.17196612996343574</v>
      </c>
      <c r="S12" s="35">
        <f>O12 + IF(MOD(COLUMN(P12)-COLUMN($I$12), 3)=1, 0.02, 0)</f>
        <v>0.1590327876738773</v>
      </c>
      <c r="T12" s="35">
        <f>O12 + IF(MOD(COLUMN(P12)-COLUMN($I$12), 3)=1, 0.02, 0)</f>
        <v>0.1590327876738773</v>
      </c>
      <c r="U12" s="35">
        <f>O12 + IF(MOD(COLUMN(P12)-COLUMN($I$12), 3)=1, 0.02, 0)</f>
        <v>0.1590327876738773</v>
      </c>
      <c r="V12" s="35">
        <f>R12 + IF(MOD(COLUMN(S12)-COLUMN($I$12), 3)=1, 0.02, 0)</f>
        <v>0.19196612996343573</v>
      </c>
    </row>
    <row r="13" spans="1:23" x14ac:dyDescent="0.35">
      <c r="D13" s="1" t="s">
        <v>128</v>
      </c>
      <c r="E13" s="34"/>
      <c r="F13" s="1" t="s">
        <v>123</v>
      </c>
      <c r="H13" s="37" t="s">
        <v>22</v>
      </c>
      <c r="I13" s="35">
        <f>-I$34/I$121</f>
        <v>9.3397196371707999E-2</v>
      </c>
      <c r="J13" s="35">
        <f>-J$34/J$121</f>
        <v>8.3178505073602971E-2</v>
      </c>
      <c r="K13" s="35">
        <f>-K$34/K$121</f>
        <v>6.3628561920941559E-2</v>
      </c>
      <c r="L13" s="35">
        <f>-L$34/L$121</f>
        <v>7.7210858775755759E-2</v>
      </c>
      <c r="M13" s="35">
        <f>L13</f>
        <v>7.7210858775755759E-2</v>
      </c>
      <c r="N13" s="35">
        <f t="shared" ref="N13:V13" si="4">M13</f>
        <v>7.7210858775755759E-2</v>
      </c>
      <c r="O13" s="35">
        <f t="shared" si="4"/>
        <v>7.7210858775755759E-2</v>
      </c>
      <c r="P13" s="35">
        <f t="shared" si="4"/>
        <v>7.7210858775755759E-2</v>
      </c>
      <c r="Q13" s="35">
        <f t="shared" si="4"/>
        <v>7.7210858775755759E-2</v>
      </c>
      <c r="R13" s="35">
        <f t="shared" si="4"/>
        <v>7.7210858775755759E-2</v>
      </c>
      <c r="S13" s="35">
        <f t="shared" si="4"/>
        <v>7.7210858775755759E-2</v>
      </c>
      <c r="T13" s="35">
        <f t="shared" si="4"/>
        <v>7.7210858775755759E-2</v>
      </c>
      <c r="U13" s="35">
        <f t="shared" si="4"/>
        <v>7.7210858775755759E-2</v>
      </c>
      <c r="V13" s="35">
        <f t="shared" si="4"/>
        <v>7.7210858775755759E-2</v>
      </c>
    </row>
    <row r="14" spans="1:23" x14ac:dyDescent="0.35">
      <c r="D14" s="1" t="s">
        <v>129</v>
      </c>
      <c r="E14" s="34"/>
      <c r="F14" s="1" t="s">
        <v>123</v>
      </c>
      <c r="H14" s="35">
        <f>H$35/H$25</f>
        <v>1.276462372568211E-3</v>
      </c>
      <c r="I14" s="35">
        <f>I$35/I$25</f>
        <v>7.6148612909697781E-4</v>
      </c>
      <c r="J14" s="35">
        <f>J$35/J$25</f>
        <v>1.0626318377186723E-3</v>
      </c>
      <c r="K14" s="35">
        <f>K$35/K$25</f>
        <v>1.4137211964105592E-3</v>
      </c>
      <c r="L14" s="35">
        <f>L$35/L$25</f>
        <v>1.1648318528564854E-3</v>
      </c>
      <c r="M14" s="35">
        <f t="shared" si="3"/>
        <v>1.1358266777301812E-3</v>
      </c>
      <c r="N14" s="35">
        <f t="shared" si="2"/>
        <v>1.1358266777301812E-3</v>
      </c>
      <c r="O14" s="35">
        <f t="shared" si="2"/>
        <v>1.1358266777301812E-3</v>
      </c>
      <c r="P14" s="35">
        <f t="shared" si="2"/>
        <v>1.1358266777301812E-3</v>
      </c>
      <c r="Q14" s="35">
        <f t="shared" si="2"/>
        <v>1.1358266777301812E-3</v>
      </c>
      <c r="R14" s="35">
        <f t="shared" si="2"/>
        <v>1.1358266777301812E-3</v>
      </c>
      <c r="S14" s="35">
        <f t="shared" si="2"/>
        <v>1.1358266777301812E-3</v>
      </c>
      <c r="T14" s="35">
        <f t="shared" si="2"/>
        <v>1.1358266777301812E-3</v>
      </c>
      <c r="U14" s="35">
        <f t="shared" si="2"/>
        <v>1.1358266777301812E-3</v>
      </c>
      <c r="V14" s="35">
        <f t="shared" si="2"/>
        <v>1.1358266777301812E-3</v>
      </c>
    </row>
    <row r="15" spans="1:23" x14ac:dyDescent="0.35">
      <c r="D15" s="1" t="s">
        <v>130</v>
      </c>
      <c r="E15" s="34"/>
      <c r="F15" s="1" t="s">
        <v>123</v>
      </c>
      <c r="H15" s="35">
        <f>-H$37/H$36</f>
        <v>0.25978867959370533</v>
      </c>
      <c r="I15" s="35">
        <f>-I$37/I$36</f>
        <v>0.25908129925043244</v>
      </c>
      <c r="J15" s="35">
        <f>-J$37/J$36</f>
        <v>0.26125625347415232</v>
      </c>
      <c r="K15" s="35">
        <f>-K$37/K$36</f>
        <v>0.25343751892906902</v>
      </c>
      <c r="L15" s="35">
        <f>-L$37/L$36</f>
        <v>0.25775387693846924</v>
      </c>
      <c r="M15" s="35">
        <f t="shared" si="3"/>
        <v>0.25826352563716565</v>
      </c>
      <c r="N15" s="35">
        <f t="shared" si="2"/>
        <v>0.25826352563716565</v>
      </c>
      <c r="O15" s="35">
        <f>MIN((M15)+0.5%,30%)</f>
        <v>0.26326352563716565</v>
      </c>
      <c r="P15" s="35">
        <f t="shared" ref="P15:V15" si="5">MIN((N15)+0.5%,30%)</f>
        <v>0.26326352563716565</v>
      </c>
      <c r="Q15" s="35">
        <f t="shared" si="5"/>
        <v>0.26826352563716566</v>
      </c>
      <c r="R15" s="35">
        <f t="shared" si="5"/>
        <v>0.26826352563716566</v>
      </c>
      <c r="S15" s="35">
        <f t="shared" si="5"/>
        <v>0.27326352563716566</v>
      </c>
      <c r="T15" s="35">
        <f t="shared" si="5"/>
        <v>0.27326352563716566</v>
      </c>
      <c r="U15" s="35">
        <f t="shared" si="5"/>
        <v>0.27826352563716567</v>
      </c>
      <c r="V15" s="35">
        <f t="shared" si="5"/>
        <v>0.27826352563716567</v>
      </c>
    </row>
    <row r="16" spans="1:23" x14ac:dyDescent="0.35">
      <c r="D16" s="1" t="s">
        <v>131</v>
      </c>
      <c r="E16" s="34"/>
      <c r="F16" s="1" t="s">
        <v>123</v>
      </c>
      <c r="H16" s="35">
        <f>-H$96/H$38</f>
        <v>9.507403386385159E-2</v>
      </c>
      <c r="I16" s="35">
        <f>-I$96/I$38</f>
        <v>0.3203631647211414</v>
      </c>
      <c r="J16" s="35">
        <f>-J$96/J$38</f>
        <v>0.1892400300978179</v>
      </c>
      <c r="K16" s="35">
        <f>-K$96/K$38</f>
        <v>0.15586206896551724</v>
      </c>
      <c r="L16" s="35">
        <f>-L$96/L$38</f>
        <v>0.13866891322662173</v>
      </c>
      <c r="M16" s="35">
        <f t="shared" si="3"/>
        <v>0.17984164217498999</v>
      </c>
      <c r="N16" s="35">
        <f t="shared" si="2"/>
        <v>0.17984164217498999</v>
      </c>
      <c r="O16" s="35">
        <f t="shared" si="2"/>
        <v>0.17984164217498999</v>
      </c>
      <c r="P16" s="35">
        <f t="shared" si="2"/>
        <v>0.17984164217498999</v>
      </c>
      <c r="Q16" s="35">
        <f t="shared" si="2"/>
        <v>0.17984164217498999</v>
      </c>
      <c r="R16" s="35">
        <f t="shared" si="2"/>
        <v>0.17984164217498999</v>
      </c>
      <c r="S16" s="35">
        <f t="shared" si="2"/>
        <v>0.17984164217498999</v>
      </c>
      <c r="T16" s="35">
        <f t="shared" si="2"/>
        <v>0.17984164217498999</v>
      </c>
      <c r="U16" s="35">
        <f t="shared" si="2"/>
        <v>0.17984164217498999</v>
      </c>
      <c r="V16" s="35">
        <f t="shared" si="2"/>
        <v>0.17984164217498999</v>
      </c>
    </row>
    <row r="17" spans="1:22" x14ac:dyDescent="0.35">
      <c r="D17" s="1" t="s">
        <v>132</v>
      </c>
      <c r="E17" s="34"/>
      <c r="F17" s="1" t="s">
        <v>133</v>
      </c>
      <c r="H17" s="38">
        <f>H47/H25*365</f>
        <v>0.51867322475283462</v>
      </c>
      <c r="I17" s="38">
        <f>I47/I25*365</f>
        <v>0.43605340434457474</v>
      </c>
      <c r="J17" s="38">
        <f>J47/J25*365</f>
        <v>0.36702034860668348</v>
      </c>
      <c r="K17" s="38">
        <f>K47/K25*365</f>
        <v>0.40632071872435832</v>
      </c>
      <c r="L17" s="38">
        <f>L47/L25*365</f>
        <v>0.63923202554484393</v>
      </c>
      <c r="M17" s="38">
        <f t="shared" si="3"/>
        <v>0.47345994439465899</v>
      </c>
      <c r="N17" s="38">
        <f t="shared" si="2"/>
        <v>0.47345994439465899</v>
      </c>
      <c r="O17" s="38">
        <f t="shared" si="2"/>
        <v>0.47345994439465899</v>
      </c>
      <c r="P17" s="38">
        <f t="shared" si="2"/>
        <v>0.47345994439465899</v>
      </c>
      <c r="Q17" s="38">
        <f t="shared" si="2"/>
        <v>0.47345994439465899</v>
      </c>
      <c r="R17" s="38">
        <f t="shared" si="2"/>
        <v>0.47345994439465899</v>
      </c>
      <c r="S17" s="38">
        <f t="shared" si="2"/>
        <v>0.47345994439465899</v>
      </c>
      <c r="T17" s="38">
        <f t="shared" si="2"/>
        <v>0.47345994439465899</v>
      </c>
      <c r="U17" s="38">
        <f t="shared" si="2"/>
        <v>0.47345994439465899</v>
      </c>
      <c r="V17" s="38">
        <f t="shared" si="2"/>
        <v>0.47345994439465899</v>
      </c>
    </row>
    <row r="18" spans="1:22" x14ac:dyDescent="0.35">
      <c r="D18" s="1" t="s">
        <v>134</v>
      </c>
      <c r="E18" s="34"/>
      <c r="F18" s="1" t="s">
        <v>133</v>
      </c>
      <c r="H18" s="38">
        <f>-H$48/H$26*365</f>
        <v>147.05257748605021</v>
      </c>
      <c r="I18" s="38">
        <f>-I$48/I$26*365</f>
        <v>137.19557177079054</v>
      </c>
      <c r="J18" s="38">
        <f>-J$48/J$26*365</f>
        <v>125.57405124469412</v>
      </c>
      <c r="K18" s="38">
        <f>-K$48/K$26*365</f>
        <v>124.95363920042374</v>
      </c>
      <c r="L18" s="38">
        <f>-L$48/L$26*365</f>
        <v>161.19434083974491</v>
      </c>
      <c r="M18" s="38">
        <f t="shared" si="3"/>
        <v>139.1940361083407</v>
      </c>
      <c r="N18" s="38">
        <f t="shared" si="2"/>
        <v>139.1940361083407</v>
      </c>
      <c r="O18" s="38">
        <f t="shared" si="2"/>
        <v>139.1940361083407</v>
      </c>
      <c r="P18" s="38">
        <f t="shared" si="2"/>
        <v>139.1940361083407</v>
      </c>
      <c r="Q18" s="38">
        <f t="shared" si="2"/>
        <v>139.1940361083407</v>
      </c>
      <c r="R18" s="38">
        <f t="shared" si="2"/>
        <v>139.1940361083407</v>
      </c>
      <c r="S18" s="38">
        <f t="shared" si="2"/>
        <v>139.1940361083407</v>
      </c>
      <c r="T18" s="38">
        <f t="shared" si="2"/>
        <v>139.1940361083407</v>
      </c>
      <c r="U18" s="38">
        <f t="shared" si="2"/>
        <v>139.1940361083407</v>
      </c>
      <c r="V18" s="38">
        <f t="shared" si="2"/>
        <v>139.1940361083407</v>
      </c>
    </row>
    <row r="19" spans="1:22" x14ac:dyDescent="0.35">
      <c r="D19" s="1" t="s">
        <v>135</v>
      </c>
      <c r="E19" s="34"/>
      <c r="F19" s="1" t="s">
        <v>133</v>
      </c>
      <c r="H19" s="38">
        <f>-H$60/H$26*356</f>
        <v>2.8299813994508574</v>
      </c>
      <c r="I19" s="38">
        <f>-I$60/I$26*356</f>
        <v>1.3273862622658341</v>
      </c>
      <c r="J19" s="38">
        <f>-J$60/J$26*356</f>
        <v>2.4723953882577083</v>
      </c>
      <c r="K19" s="38">
        <f>-K$60/K$26*356</f>
        <v>1.7944292195380329</v>
      </c>
      <c r="L19" s="38">
        <f>-L$60/L$26*356</f>
        <v>2.6277842135454681</v>
      </c>
      <c r="M19" s="38">
        <f t="shared" si="3"/>
        <v>2.2103952966115799</v>
      </c>
      <c r="N19" s="38">
        <f t="shared" si="2"/>
        <v>2.2103952966115799</v>
      </c>
      <c r="O19" s="38">
        <f t="shared" si="2"/>
        <v>2.2103952966115799</v>
      </c>
      <c r="P19" s="38">
        <f t="shared" si="2"/>
        <v>2.2103952966115799</v>
      </c>
      <c r="Q19" s="38">
        <f t="shared" si="2"/>
        <v>2.2103952966115799</v>
      </c>
      <c r="R19" s="38">
        <f t="shared" si="2"/>
        <v>2.2103952966115799</v>
      </c>
      <c r="S19" s="38">
        <f t="shared" si="2"/>
        <v>2.2103952966115799</v>
      </c>
      <c r="T19" s="38">
        <f t="shared" si="2"/>
        <v>2.2103952966115799</v>
      </c>
      <c r="U19" s="38">
        <f t="shared" si="2"/>
        <v>2.2103952966115799</v>
      </c>
      <c r="V19" s="38">
        <f t="shared" si="2"/>
        <v>2.2103952966115799</v>
      </c>
    </row>
    <row r="20" spans="1:22" x14ac:dyDescent="0.35">
      <c r="D20" s="1" t="s">
        <v>136</v>
      </c>
      <c r="E20" s="34"/>
      <c r="F20" s="1" t="s">
        <v>137</v>
      </c>
      <c r="H20" s="39">
        <f>H$25/H$52</f>
        <v>22.432684799944738</v>
      </c>
      <c r="I20" s="39">
        <f>I$25/I$52</f>
        <v>24.025854513584576</v>
      </c>
      <c r="J20" s="39">
        <f>J$25/J$52</f>
        <v>25.897888770229194</v>
      </c>
      <c r="K20" s="39">
        <f>K$25/K$52</f>
        <v>24.547950477901082</v>
      </c>
      <c r="L20" s="39">
        <f>L$25/L$52</f>
        <v>23.176231829337361</v>
      </c>
      <c r="M20" s="39">
        <f t="shared" ref="M20:V20" si="6">L20+0.5</f>
        <v>23.676231829337361</v>
      </c>
      <c r="N20" s="39">
        <f t="shared" si="6"/>
        <v>24.176231829337361</v>
      </c>
      <c r="O20" s="39">
        <f t="shared" si="6"/>
        <v>24.676231829337361</v>
      </c>
      <c r="P20" s="39">
        <f t="shared" si="6"/>
        <v>25.176231829337361</v>
      </c>
      <c r="Q20" s="39">
        <f t="shared" si="6"/>
        <v>25.676231829337361</v>
      </c>
      <c r="R20" s="39">
        <f t="shared" si="6"/>
        <v>26.176231829337361</v>
      </c>
      <c r="S20" s="39">
        <f t="shared" si="6"/>
        <v>26.676231829337361</v>
      </c>
      <c r="T20" s="39">
        <f t="shared" si="6"/>
        <v>27.176231829337361</v>
      </c>
      <c r="U20" s="39">
        <f t="shared" si="6"/>
        <v>27.676231829337361</v>
      </c>
      <c r="V20" s="39">
        <f t="shared" si="6"/>
        <v>28.176231829337361</v>
      </c>
    </row>
    <row r="23" spans="1:22" x14ac:dyDescent="0.35">
      <c r="A23" s="23" t="s">
        <v>139</v>
      </c>
      <c r="B23" s="28"/>
      <c r="C23" s="28"/>
      <c r="D23" s="28"/>
      <c r="E23" s="28"/>
      <c r="F23" s="28"/>
      <c r="G23" s="28"/>
      <c r="H23" s="28"/>
      <c r="I23" s="28"/>
      <c r="J23" s="28"/>
      <c r="K23" s="28"/>
      <c r="L23" s="28"/>
      <c r="M23" s="28"/>
      <c r="N23" s="28"/>
      <c r="O23" s="28"/>
      <c r="P23" s="28"/>
      <c r="Q23" s="28"/>
      <c r="R23" s="28"/>
      <c r="S23" s="28"/>
      <c r="T23" s="28"/>
      <c r="U23" s="28"/>
      <c r="V23" s="28"/>
    </row>
    <row r="24" spans="1:22" x14ac:dyDescent="0.35">
      <c r="B24" s="4" t="s">
        <v>140</v>
      </c>
    </row>
    <row r="25" spans="1:22" x14ac:dyDescent="0.35">
      <c r="B25" s="4"/>
      <c r="C25" s="4"/>
      <c r="D25" s="4" t="s">
        <v>141</v>
      </c>
      <c r="E25" s="4"/>
      <c r="F25" s="43" t="s">
        <v>154</v>
      </c>
      <c r="G25" s="4"/>
      <c r="H25" s="73">
        <f>Historical!H5</f>
        <v>181862</v>
      </c>
      <c r="I25" s="73">
        <f>Historical!I5</f>
        <v>219308</v>
      </c>
      <c r="J25" s="73">
        <f>Historical!J5</f>
        <v>315255</v>
      </c>
      <c r="K25" s="73">
        <f>Historical!K5</f>
        <v>382678</v>
      </c>
      <c r="L25" s="73">
        <f>Historical!L5</f>
        <v>491058</v>
      </c>
      <c r="M25" s="94">
        <f>Historical!S116</f>
        <v>767664.85</v>
      </c>
      <c r="N25" s="94">
        <f>M25*(1+N8)</f>
        <v>848269.65924999991</v>
      </c>
      <c r="O25" s="94">
        <f t="shared" ref="O25:V25" si="7">N25*(1+O8)</f>
        <v>924613.92858249997</v>
      </c>
      <c r="P25" s="94">
        <f t="shared" si="7"/>
        <v>998583.0428691</v>
      </c>
      <c r="Q25" s="94">
        <f t="shared" si="7"/>
        <v>1068483.855869937</v>
      </c>
      <c r="R25" s="94">
        <f t="shared" si="7"/>
        <v>1132592.8872221333</v>
      </c>
      <c r="S25" s="94">
        <f t="shared" si="7"/>
        <v>1194885.4960193506</v>
      </c>
      <c r="T25" s="94">
        <f t="shared" si="7"/>
        <v>1254629.7708203183</v>
      </c>
      <c r="U25" s="94">
        <f t="shared" si="7"/>
        <v>1311088.1105072326</v>
      </c>
      <c r="V25" s="94">
        <f t="shared" si="7"/>
        <v>1363531.6349275219</v>
      </c>
    </row>
    <row r="26" spans="1:22" x14ac:dyDescent="0.35">
      <c r="C26" s="44"/>
      <c r="D26" s="44" t="s">
        <v>142</v>
      </c>
      <c r="E26" s="44"/>
      <c r="F26" s="45" t="s">
        <v>155</v>
      </c>
      <c r="G26" s="44"/>
      <c r="H26" s="74">
        <f>-SUM(Historical!H9:H12)</f>
        <v>-161145.78</v>
      </c>
      <c r="I26" s="74">
        <f>-SUM(Historical!I9:I12)</f>
        <v>-199538</v>
      </c>
      <c r="J26" s="74">
        <f>-SUM(Historical!J9:J12)</f>
        <v>-285532</v>
      </c>
      <c r="K26" s="74">
        <f>-SUM(Historical!K9:K12)</f>
        <v>-347384</v>
      </c>
      <c r="L26" s="74">
        <f>-SUM(Historical!L9:L12)</f>
        <v>-448017</v>
      </c>
      <c r="M26" s="95">
        <f>-M$25*M$9</f>
        <v>-694242.33554675826</v>
      </c>
      <c r="N26" s="46">
        <f t="shared" ref="N26:V26" si="8">-N$25*N$9</f>
        <v>-767137.78077916789</v>
      </c>
      <c r="O26" s="46">
        <f t="shared" si="8"/>
        <v>-836180.18104929302</v>
      </c>
      <c r="P26" s="46">
        <f t="shared" si="8"/>
        <v>-903074.59553323651</v>
      </c>
      <c r="Q26" s="46">
        <f t="shared" si="8"/>
        <v>-966289.81722056307</v>
      </c>
      <c r="R26" s="46">
        <f t="shared" si="8"/>
        <v>-1024267.2062537969</v>
      </c>
      <c r="S26" s="46">
        <f t="shared" si="8"/>
        <v>-1080601.9025977557</v>
      </c>
      <c r="T26" s="46">
        <f t="shared" si="8"/>
        <v>-1134631.9977276437</v>
      </c>
      <c r="U26" s="46">
        <f t="shared" si="8"/>
        <v>-1185690.4376253877</v>
      </c>
      <c r="V26" s="46">
        <f t="shared" si="8"/>
        <v>-1233118.055130403</v>
      </c>
    </row>
    <row r="27" spans="1:22" x14ac:dyDescent="0.35">
      <c r="D27" s="4" t="s">
        <v>143</v>
      </c>
      <c r="E27" s="4"/>
      <c r="F27" s="47" t="s">
        <v>155</v>
      </c>
      <c r="G27" s="4"/>
      <c r="H27" s="75">
        <f>SUM(H25:H26)</f>
        <v>20716.22</v>
      </c>
      <c r="I27" s="75">
        <f>SUM(I25:I26)</f>
        <v>19770</v>
      </c>
      <c r="J27" s="75">
        <f>SUM(J25:J26)</f>
        <v>29723</v>
      </c>
      <c r="K27" s="75">
        <f>SUM(K25:K26)</f>
        <v>35294</v>
      </c>
      <c r="L27" s="75">
        <f>SUM(L25:L26)</f>
        <v>43041</v>
      </c>
      <c r="M27" s="75">
        <f>SUM(M$25:M$26)</f>
        <v>73422.514453241718</v>
      </c>
      <c r="N27" s="75">
        <f t="shared" ref="N27:V27" si="9">SUM(N$25:N$26)</f>
        <v>81131.878470832016</v>
      </c>
      <c r="O27" s="75">
        <f t="shared" si="9"/>
        <v>88433.747533206944</v>
      </c>
      <c r="P27" s="75">
        <f t="shared" si="9"/>
        <v>95508.447335863486</v>
      </c>
      <c r="Q27" s="75">
        <f t="shared" si="9"/>
        <v>102194.03864937392</v>
      </c>
      <c r="R27" s="75">
        <f t="shared" si="9"/>
        <v>108325.68096833641</v>
      </c>
      <c r="S27" s="75">
        <f t="shared" si="9"/>
        <v>114283.59342159494</v>
      </c>
      <c r="T27" s="75">
        <f t="shared" si="9"/>
        <v>119997.77309267456</v>
      </c>
      <c r="U27" s="75">
        <f t="shared" si="9"/>
        <v>125397.67288184492</v>
      </c>
      <c r="V27" s="75">
        <f t="shared" si="9"/>
        <v>130413.5797971189</v>
      </c>
    </row>
    <row r="28" spans="1:22" x14ac:dyDescent="0.35">
      <c r="C28" s="4" t="s">
        <v>144</v>
      </c>
      <c r="H28" s="48"/>
      <c r="I28" s="48"/>
      <c r="J28" s="48"/>
      <c r="K28" s="48"/>
      <c r="L28" s="48"/>
      <c r="M28" s="48"/>
      <c r="N28" s="48"/>
      <c r="O28" s="48"/>
      <c r="P28" s="48"/>
      <c r="Q28" s="48"/>
      <c r="R28" s="48"/>
      <c r="S28" s="48"/>
      <c r="T28" s="48"/>
      <c r="U28" s="48"/>
      <c r="V28" s="48"/>
    </row>
    <row r="29" spans="1:22" x14ac:dyDescent="0.35">
      <c r="D29" s="1" t="s">
        <v>145</v>
      </c>
      <c r="F29" s="47" t="s">
        <v>155</v>
      </c>
      <c r="H29" s="49">
        <f>-Historical!H13</f>
        <v>-3328.13</v>
      </c>
      <c r="I29" s="49">
        <f>-Historical!I13</f>
        <v>-4513</v>
      </c>
      <c r="J29" s="49">
        <f>-Historical!J13</f>
        <v>-5842</v>
      </c>
      <c r="K29" s="49">
        <f>-Historical!K13</f>
        <v>-6818</v>
      </c>
      <c r="L29" s="49">
        <f>-Historical!L13</f>
        <v>-9340</v>
      </c>
      <c r="M29" s="48">
        <f>-M$25*M$10</f>
        <v>-14469.929967588678</v>
      </c>
      <c r="N29" s="48">
        <f t="shared" ref="N29:V29" si="10">-N$25*N$10</f>
        <v>-15989.272614185487</v>
      </c>
      <c r="O29" s="48">
        <f t="shared" si="10"/>
        <v>-17428.307149462184</v>
      </c>
      <c r="P29" s="48">
        <f t="shared" si="10"/>
        <v>-18822.571721419157</v>
      </c>
      <c r="Q29" s="48">
        <f t="shared" si="10"/>
        <v>-20140.1517419185</v>
      </c>
      <c r="R29" s="48">
        <f t="shared" si="10"/>
        <v>-21348.560846433611</v>
      </c>
      <c r="S29" s="48">
        <f t="shared" si="10"/>
        <v>-22522.731692987458</v>
      </c>
      <c r="T29" s="48">
        <f>-T$25*T$10</f>
        <v>-23648.868277636833</v>
      </c>
      <c r="U29" s="48">
        <f t="shared" si="10"/>
        <v>-24713.067350130492</v>
      </c>
      <c r="V29" s="48">
        <f t="shared" si="10"/>
        <v>-25701.590044135712</v>
      </c>
    </row>
    <row r="30" spans="1:22" x14ac:dyDescent="0.35">
      <c r="D30" s="1" t="s">
        <v>146</v>
      </c>
      <c r="F30" s="45" t="s">
        <v>155</v>
      </c>
      <c r="H30" s="49">
        <f>-Historical!H16</f>
        <v>-2685.74</v>
      </c>
      <c r="I30" s="49">
        <f>-Historical!I16</f>
        <v>-6638</v>
      </c>
      <c r="J30" s="49">
        <f>-Historical!J16</f>
        <v>-8591</v>
      </c>
      <c r="K30" s="49">
        <f>-Historical!K16</f>
        <v>-7239</v>
      </c>
      <c r="L30" s="49">
        <f>-Historical!L16</f>
        <v>-11805</v>
      </c>
      <c r="M30" s="48">
        <f>-M$25*M$11</f>
        <v>-17693.679501796381</v>
      </c>
      <c r="N30" s="48">
        <f t="shared" ref="N30:V30" si="11">-N$25*N$11</f>
        <v>-19551.515849485</v>
      </c>
      <c r="O30" s="48">
        <f t="shared" si="11"/>
        <v>-21311.15227593865</v>
      </c>
      <c r="P30" s="48">
        <f t="shared" si="11"/>
        <v>-23016.044458013745</v>
      </c>
      <c r="Q30" s="48">
        <f t="shared" si="11"/>
        <v>-24627.167570074704</v>
      </c>
      <c r="R30" s="48">
        <f t="shared" si="11"/>
        <v>-26104.797624279192</v>
      </c>
      <c r="S30" s="48">
        <f t="shared" si="11"/>
        <v>-27540.561493614543</v>
      </c>
      <c r="T30" s="48">
        <f>-T$25*T$11</f>
        <v>-28917.589568295276</v>
      </c>
      <c r="U30" s="48">
        <f t="shared" si="11"/>
        <v>-30218.881098868562</v>
      </c>
      <c r="V30" s="48">
        <f t="shared" si="11"/>
        <v>-31427.636342823305</v>
      </c>
    </row>
    <row r="31" spans="1:22" x14ac:dyDescent="0.35">
      <c r="C31" s="50"/>
      <c r="D31" s="51" t="s">
        <v>147</v>
      </c>
      <c r="E31" s="50"/>
      <c r="F31" s="47" t="s">
        <v>155</v>
      </c>
      <c r="G31" s="50"/>
      <c r="H31" s="53">
        <f t="shared" ref="H31:V31" si="12">SUM(H27:H30)</f>
        <v>14702.35</v>
      </c>
      <c r="I31" s="53">
        <f t="shared" si="12"/>
        <v>8619</v>
      </c>
      <c r="J31" s="53">
        <f t="shared" si="12"/>
        <v>15290</v>
      </c>
      <c r="K31" s="53">
        <f t="shared" si="12"/>
        <v>21237</v>
      </c>
      <c r="L31" s="53">
        <f t="shared" si="12"/>
        <v>21896</v>
      </c>
      <c r="M31" s="53">
        <f t="shared" si="12"/>
        <v>41258.904983856657</v>
      </c>
      <c r="N31" s="53">
        <f t="shared" si="12"/>
        <v>45591.090007161532</v>
      </c>
      <c r="O31" s="53">
        <f t="shared" si="12"/>
        <v>49694.288107806111</v>
      </c>
      <c r="P31" s="53">
        <f t="shared" si="12"/>
        <v>53669.831156430591</v>
      </c>
      <c r="Q31" s="53">
        <f t="shared" si="12"/>
        <v>57426.719337380724</v>
      </c>
      <c r="R31" s="53">
        <f t="shared" si="12"/>
        <v>60872.322497623609</v>
      </c>
      <c r="S31" s="53">
        <f t="shared" si="12"/>
        <v>64220.30023499293</v>
      </c>
      <c r="T31" s="53">
        <f t="shared" si="12"/>
        <v>67431.315246742452</v>
      </c>
      <c r="U31" s="53">
        <f t="shared" si="12"/>
        <v>70465.724432845862</v>
      </c>
      <c r="V31" s="53">
        <f t="shared" si="12"/>
        <v>73284.353410159893</v>
      </c>
    </row>
    <row r="32" spans="1:22" x14ac:dyDescent="0.35">
      <c r="D32" s="1" t="s">
        <v>148</v>
      </c>
      <c r="F32" s="68" t="s">
        <v>155</v>
      </c>
      <c r="H32" s="49">
        <f>-Historical!H15</f>
        <v>-946.99</v>
      </c>
      <c r="I32" s="49">
        <f>-Historical!I15</f>
        <v>-965</v>
      </c>
      <c r="J32" s="49">
        <f>-Historical!J15</f>
        <v>-1339</v>
      </c>
      <c r="K32" s="49">
        <f>-Historical!K15</f>
        <v>-1636</v>
      </c>
      <c r="L32" s="49">
        <f>-Historical!L15</f>
        <v>-2369</v>
      </c>
      <c r="M32" s="46">
        <f>M$117</f>
        <v>-2945.8267052341125</v>
      </c>
      <c r="N32" s="46">
        <f t="shared" ref="N32:V32" si="13">N$117</f>
        <v>-3210.2212970684113</v>
      </c>
      <c r="O32" s="46">
        <f t="shared" si="13"/>
        <v>-3441.2261772074266</v>
      </c>
      <c r="P32" s="46">
        <f t="shared" si="13"/>
        <v>-4506.5533389750944</v>
      </c>
      <c r="Q32" s="46">
        <f t="shared" si="13"/>
        <v>-4577.7508922609686</v>
      </c>
      <c r="R32" s="46">
        <f t="shared" si="13"/>
        <v>-4640.9357382977205</v>
      </c>
      <c r="S32" s="46">
        <f t="shared" si="13"/>
        <v>-4344.213740473042</v>
      </c>
      <c r="T32" s="46">
        <f>T$117</f>
        <v>-4447.6707171212265</v>
      </c>
      <c r="U32" s="46">
        <f t="shared" si="13"/>
        <v>-4538.6462893589733</v>
      </c>
      <c r="V32" s="46">
        <f t="shared" si="13"/>
        <v>-5575.7020536376049</v>
      </c>
    </row>
    <row r="33" spans="1:23" x14ac:dyDescent="0.35">
      <c r="D33" s="51" t="s">
        <v>149</v>
      </c>
      <c r="E33" s="50"/>
      <c r="F33" s="47" t="s">
        <v>155</v>
      </c>
      <c r="G33" s="50"/>
      <c r="H33" s="53">
        <f t="shared" ref="H33:V33" si="14">SUM(H31:H32)</f>
        <v>13755.36</v>
      </c>
      <c r="I33" s="53">
        <f t="shared" si="14"/>
        <v>7654</v>
      </c>
      <c r="J33" s="53">
        <f t="shared" si="14"/>
        <v>13951</v>
      </c>
      <c r="K33" s="53">
        <f t="shared" si="14"/>
        <v>19601</v>
      </c>
      <c r="L33" s="53">
        <f t="shared" si="14"/>
        <v>19527</v>
      </c>
      <c r="M33" s="53">
        <f t="shared" si="14"/>
        <v>38313.078278622546</v>
      </c>
      <c r="N33" s="53">
        <f t="shared" si="14"/>
        <v>42380.86871009312</v>
      </c>
      <c r="O33" s="53">
        <f t="shared" si="14"/>
        <v>46253.061930598684</v>
      </c>
      <c r="P33" s="53">
        <f t="shared" si="14"/>
        <v>49163.277817455499</v>
      </c>
      <c r="Q33" s="53">
        <f t="shared" si="14"/>
        <v>52848.968445119754</v>
      </c>
      <c r="R33" s="53">
        <f t="shared" si="14"/>
        <v>56231.386759325891</v>
      </c>
      <c r="S33" s="53">
        <f t="shared" si="14"/>
        <v>59876.086494519885</v>
      </c>
      <c r="T33" s="53">
        <f t="shared" si="14"/>
        <v>62983.644529621226</v>
      </c>
      <c r="U33" s="53">
        <f t="shared" si="14"/>
        <v>65927.078143486884</v>
      </c>
      <c r="V33" s="53">
        <f t="shared" si="14"/>
        <v>67708.651356522285</v>
      </c>
    </row>
    <row r="34" spans="1:23" x14ac:dyDescent="0.35">
      <c r="D34" s="1" t="s">
        <v>112</v>
      </c>
      <c r="F34" s="47" t="s">
        <v>155</v>
      </c>
      <c r="H34" s="49">
        <f>-Historical!H14</f>
        <v>-2290.5700000000002</v>
      </c>
      <c r="I34" s="49">
        <f>-Historical!I14</f>
        <v>-2618</v>
      </c>
      <c r="J34" s="49">
        <f>-Historical!J14</f>
        <v>-3492</v>
      </c>
      <c r="K34" s="49">
        <f>-Historical!K14</f>
        <v>-3633</v>
      </c>
      <c r="L34" s="49">
        <f>-Historical!L14</f>
        <v>-4107</v>
      </c>
      <c r="M34" s="48">
        <f>M$124</f>
        <v>-6155.6357158971277</v>
      </c>
      <c r="N34" s="48">
        <f t="shared" ref="N34:V34" si="15">N$124</f>
        <v>-6155.6357158971277</v>
      </c>
      <c r="O34" s="48">
        <f t="shared" si="15"/>
        <v>-6155.6357158971277</v>
      </c>
      <c r="P34" s="48">
        <f t="shared" si="15"/>
        <v>-6155.6357158971277</v>
      </c>
      <c r="Q34" s="48">
        <f t="shared" si="15"/>
        <v>-6155.6357158971277</v>
      </c>
      <c r="R34" s="48">
        <f t="shared" si="15"/>
        <v>-6155.6357158971277</v>
      </c>
      <c r="S34" s="48">
        <f t="shared" si="15"/>
        <v>-6155.6357158971277</v>
      </c>
      <c r="T34" s="48">
        <f t="shared" si="15"/>
        <v>-6155.6357158971277</v>
      </c>
      <c r="U34" s="48">
        <f t="shared" si="15"/>
        <v>-6155.6357158971277</v>
      </c>
      <c r="V34" s="48">
        <f t="shared" si="15"/>
        <v>-6155.6357158971277</v>
      </c>
    </row>
    <row r="35" spans="1:23" x14ac:dyDescent="0.35">
      <c r="D35" s="44" t="s">
        <v>150</v>
      </c>
      <c r="E35" s="44"/>
      <c r="F35" s="45" t="s">
        <v>155</v>
      </c>
      <c r="G35" s="44"/>
      <c r="H35" s="74">
        <f>Historical!H6</f>
        <v>232.14</v>
      </c>
      <c r="I35" s="74">
        <f>Historical!I6</f>
        <v>167</v>
      </c>
      <c r="J35" s="74">
        <f>Historical!J6</f>
        <v>335</v>
      </c>
      <c r="K35" s="74">
        <f>Historical!K6</f>
        <v>541</v>
      </c>
      <c r="L35" s="74">
        <f>Historical!L6</f>
        <v>572</v>
      </c>
      <c r="M35" s="46">
        <f>M$25*M$14</f>
        <v>871.9342161857378</v>
      </c>
      <c r="N35" s="46">
        <f t="shared" ref="N35:V35" si="16">N$25*N$14</f>
        <v>963.48730888524028</v>
      </c>
      <c r="O35" s="46">
        <f t="shared" si="16"/>
        <v>1050.2011666849119</v>
      </c>
      <c r="P35" s="46">
        <f t="shared" si="16"/>
        <v>1134.217260019705</v>
      </c>
      <c r="Q35" s="46">
        <f t="shared" si="16"/>
        <v>1213.6124682210843</v>
      </c>
      <c r="R35" s="46">
        <f t="shared" si="16"/>
        <v>1286.4292163143496</v>
      </c>
      <c r="S35" s="46">
        <f t="shared" si="16"/>
        <v>1357.1828232116386</v>
      </c>
      <c r="T35" s="46">
        <f t="shared" si="16"/>
        <v>1425.0419643722207</v>
      </c>
      <c r="U35" s="46">
        <f t="shared" si="16"/>
        <v>1489.1688527689707</v>
      </c>
      <c r="V35" s="46">
        <f t="shared" si="16"/>
        <v>1548.7356068797294</v>
      </c>
    </row>
    <row r="36" spans="1:23" x14ac:dyDescent="0.35">
      <c r="D36" s="4" t="s">
        <v>151</v>
      </c>
      <c r="F36" s="52" t="s">
        <v>155</v>
      </c>
      <c r="H36" s="75">
        <f t="shared" ref="H36:V36" si="17">SUM(H33:H35)</f>
        <v>11696.93</v>
      </c>
      <c r="I36" s="75">
        <f t="shared" si="17"/>
        <v>5203</v>
      </c>
      <c r="J36" s="75">
        <f t="shared" si="17"/>
        <v>10794</v>
      </c>
      <c r="K36" s="75">
        <f t="shared" si="17"/>
        <v>16509</v>
      </c>
      <c r="L36" s="75">
        <f t="shared" si="17"/>
        <v>15992</v>
      </c>
      <c r="M36" s="75">
        <f t="shared" si="17"/>
        <v>33029.376778911152</v>
      </c>
      <c r="N36" s="75">
        <f t="shared" si="17"/>
        <v>37188.720303081231</v>
      </c>
      <c r="O36" s="75">
        <f t="shared" si="17"/>
        <v>41147.627381386468</v>
      </c>
      <c r="P36" s="75">
        <f t="shared" si="17"/>
        <v>44141.859361578077</v>
      </c>
      <c r="Q36" s="75">
        <f t="shared" si="17"/>
        <v>47906.945197443711</v>
      </c>
      <c r="R36" s="75">
        <f t="shared" si="17"/>
        <v>51362.180259743109</v>
      </c>
      <c r="S36" s="75">
        <f t="shared" si="17"/>
        <v>55077.633601834394</v>
      </c>
      <c r="T36" s="75">
        <f t="shared" si="17"/>
        <v>58253.050778096316</v>
      </c>
      <c r="U36" s="75">
        <f t="shared" si="17"/>
        <v>61260.611280358724</v>
      </c>
      <c r="V36" s="75">
        <f t="shared" si="17"/>
        <v>63101.751247504886</v>
      </c>
    </row>
    <row r="37" spans="1:23" x14ac:dyDescent="0.35">
      <c r="D37" s="44" t="s">
        <v>152</v>
      </c>
      <c r="E37" s="44"/>
      <c r="F37" s="45" t="s">
        <v>155</v>
      </c>
      <c r="G37" s="44"/>
      <c r="H37" s="74">
        <f>-Historical!H23</f>
        <v>-3038.73</v>
      </c>
      <c r="I37" s="74">
        <f>-Historical!I23</f>
        <v>-1348</v>
      </c>
      <c r="J37" s="74">
        <f>-Historical!J23</f>
        <v>-2820</v>
      </c>
      <c r="K37" s="74">
        <f>-Historical!K23</f>
        <v>-4184</v>
      </c>
      <c r="L37" s="74">
        <f>-Historical!L23</f>
        <v>-4122</v>
      </c>
      <c r="M37" s="48">
        <f t="shared" ref="M37:V37" si="18">-M36*M13</f>
        <v>-2550.2265459277355</v>
      </c>
      <c r="N37" s="48">
        <f t="shared" si="18"/>
        <v>-2871.3730313722858</v>
      </c>
      <c r="O37" s="48">
        <f t="shared" si="18"/>
        <v>-3177.0436467016511</v>
      </c>
      <c r="P37" s="48">
        <f t="shared" si="18"/>
        <v>-3408.2308692660772</v>
      </c>
      <c r="Q37" s="48">
        <f t="shared" si="18"/>
        <v>-3698.936380017697</v>
      </c>
      <c r="R37" s="48">
        <f t="shared" si="18"/>
        <v>-3965.7180464499352</v>
      </c>
      <c r="S37" s="48">
        <f t="shared" si="18"/>
        <v>-4252.5913897340552</v>
      </c>
      <c r="T37" s="48">
        <f t="shared" si="18"/>
        <v>-4497.7680768845239</v>
      </c>
      <c r="U37" s="48">
        <f t="shared" si="18"/>
        <v>-4729.9844060842479</v>
      </c>
      <c r="V37" s="48">
        <f t="shared" si="18"/>
        <v>-4872.1404040739699</v>
      </c>
    </row>
    <row r="38" spans="1:23" ht="16" thickBot="1" x14ac:dyDescent="0.4">
      <c r="D38" s="54" t="s">
        <v>153</v>
      </c>
      <c r="E38" s="55"/>
      <c r="F38" s="66" t="s">
        <v>155</v>
      </c>
      <c r="G38" s="55"/>
      <c r="H38" s="76">
        <f t="shared" ref="H38:V38" si="19">SUM(H36:H37)</f>
        <v>8658.2000000000007</v>
      </c>
      <c r="I38" s="76">
        <f t="shared" si="19"/>
        <v>3855</v>
      </c>
      <c r="J38" s="76">
        <f t="shared" si="19"/>
        <v>7974</v>
      </c>
      <c r="K38" s="76">
        <f t="shared" si="19"/>
        <v>12325</v>
      </c>
      <c r="L38" s="76">
        <f t="shared" si="19"/>
        <v>11870</v>
      </c>
      <c r="M38" s="76">
        <f t="shared" si="19"/>
        <v>30479.150232983415</v>
      </c>
      <c r="N38" s="76">
        <f t="shared" si="19"/>
        <v>34317.347271708946</v>
      </c>
      <c r="O38" s="76">
        <f t="shared" si="19"/>
        <v>37970.58373468482</v>
      </c>
      <c r="P38" s="76">
        <f t="shared" si="19"/>
        <v>40733.628492311997</v>
      </c>
      <c r="Q38" s="76">
        <f t="shared" si="19"/>
        <v>44208.008817426016</v>
      </c>
      <c r="R38" s="76">
        <f t="shared" si="19"/>
        <v>47396.462213293176</v>
      </c>
      <c r="S38" s="76">
        <f t="shared" si="19"/>
        <v>50825.042212100336</v>
      </c>
      <c r="T38" s="76">
        <f t="shared" si="19"/>
        <v>53755.282701211792</v>
      </c>
      <c r="U38" s="76">
        <f t="shared" si="19"/>
        <v>56530.626874274472</v>
      </c>
      <c r="V38" s="76">
        <f t="shared" si="19"/>
        <v>58229.610843430914</v>
      </c>
      <c r="W38" s="7"/>
    </row>
    <row r="39" spans="1:23" ht="16" thickTop="1" x14ac:dyDescent="0.35">
      <c r="H39" s="48"/>
      <c r="I39" s="48"/>
      <c r="J39" s="48"/>
      <c r="K39" s="48"/>
      <c r="L39" s="48"/>
      <c r="M39" s="48"/>
      <c r="N39" s="48"/>
      <c r="O39" s="48"/>
      <c r="P39" s="48"/>
      <c r="Q39" s="48"/>
    </row>
    <row r="40" spans="1:23" x14ac:dyDescent="0.35">
      <c r="H40" s="48"/>
      <c r="I40" s="48"/>
      <c r="J40" s="48"/>
      <c r="K40" s="48"/>
      <c r="L40" s="48"/>
      <c r="M40" s="48"/>
      <c r="N40" s="48"/>
      <c r="O40" s="48"/>
      <c r="P40" s="48"/>
      <c r="Q40" s="48"/>
    </row>
    <row r="41" spans="1:23" s="48" customFormat="1" outlineLevel="1" x14ac:dyDescent="0.35">
      <c r="A41" s="23" t="s">
        <v>156</v>
      </c>
      <c r="B41" s="28"/>
      <c r="C41" s="28"/>
      <c r="D41" s="28"/>
      <c r="E41" s="28"/>
      <c r="F41" s="28"/>
      <c r="G41" s="28"/>
      <c r="H41" s="77"/>
      <c r="I41" s="77"/>
      <c r="J41" s="77"/>
      <c r="K41" s="77"/>
      <c r="L41" s="77"/>
      <c r="M41" s="77"/>
      <c r="N41" s="77"/>
      <c r="O41" s="77"/>
      <c r="P41" s="77"/>
      <c r="Q41" s="77"/>
      <c r="R41" s="77"/>
      <c r="S41" s="77"/>
      <c r="T41" s="77"/>
      <c r="U41" s="77"/>
      <c r="V41" s="77"/>
    </row>
    <row r="42" spans="1:23" x14ac:dyDescent="0.35">
      <c r="H42" s="48"/>
      <c r="I42" s="48"/>
      <c r="J42" s="48"/>
      <c r="K42" s="48"/>
      <c r="L42" s="48"/>
      <c r="M42" s="48"/>
      <c r="N42" s="48"/>
      <c r="O42" s="48"/>
      <c r="P42" s="48"/>
      <c r="Q42" s="48"/>
    </row>
    <row r="43" spans="1:23" x14ac:dyDescent="0.35">
      <c r="B43" s="4" t="s">
        <v>157</v>
      </c>
      <c r="H43" s="48"/>
      <c r="I43" s="48"/>
      <c r="J43" s="48"/>
      <c r="K43" s="48"/>
      <c r="L43" s="48"/>
      <c r="M43" s="48"/>
      <c r="N43" s="48"/>
      <c r="O43" s="48"/>
      <c r="P43" s="48"/>
      <c r="Q43" s="48"/>
    </row>
    <row r="44" spans="1:23" x14ac:dyDescent="0.35">
      <c r="C44" s="4" t="s">
        <v>158</v>
      </c>
      <c r="F44" s="47"/>
      <c r="H44" s="234">
        <f>SUM(H45:H49)</f>
        <v>68173.990000000005</v>
      </c>
      <c r="I44" s="234">
        <f t="shared" ref="I44:V44" si="20">SUM(I45:I49)</f>
        <v>79855</v>
      </c>
      <c r="J44" s="234">
        <f t="shared" si="20"/>
        <v>110909</v>
      </c>
      <c r="K44" s="234">
        <f t="shared" si="20"/>
        <v>130625</v>
      </c>
      <c r="L44" s="234">
        <f t="shared" si="20"/>
        <v>231886</v>
      </c>
      <c r="M44" s="234">
        <f t="shared" si="20"/>
        <v>255879.30556493514</v>
      </c>
      <c r="N44" s="234">
        <f t="shared" si="20"/>
        <v>282804.8969462341</v>
      </c>
      <c r="O44" s="234">
        <f t="shared" si="20"/>
        <v>312910.03338256554</v>
      </c>
      <c r="P44" s="234">
        <f t="shared" si="20"/>
        <v>346309.14282451849</v>
      </c>
      <c r="Q44" s="234">
        <f t="shared" si="20"/>
        <v>382582.10827004153</v>
      </c>
      <c r="R44" s="234">
        <f t="shared" si="20"/>
        <v>421476.84970470087</v>
      </c>
      <c r="S44" s="234">
        <f t="shared" si="20"/>
        <v>462852.05022285949</v>
      </c>
      <c r="T44" s="234">
        <f t="shared" si="20"/>
        <v>506695.03880054771</v>
      </c>
      <c r="U44" s="234">
        <f t="shared" si="20"/>
        <v>552862.13005890558</v>
      </c>
      <c r="V44" s="234">
        <f t="shared" si="20"/>
        <v>601412.50104396278</v>
      </c>
    </row>
    <row r="45" spans="1:23" x14ac:dyDescent="0.35">
      <c r="D45" s="1" t="s">
        <v>159</v>
      </c>
      <c r="F45" s="47" t="s">
        <v>155</v>
      </c>
      <c r="H45" s="49">
        <f>Historical!H43</f>
        <v>1029.92</v>
      </c>
      <c r="I45" s="49">
        <f>Historical!I43</f>
        <v>365</v>
      </c>
      <c r="J45" s="49">
        <f>Historical!J43</f>
        <v>566</v>
      </c>
      <c r="K45" s="49">
        <f>Historical!K43</f>
        <v>1357</v>
      </c>
      <c r="L45" s="49">
        <f>Historical!L43</f>
        <v>8856</v>
      </c>
      <c r="M45" s="48">
        <f>M102</f>
        <v>-34181.232186377107</v>
      </c>
      <c r="N45" s="48">
        <f t="shared" ref="N45:V45" si="21">N102</f>
        <v>-35159.132268966001</v>
      </c>
      <c r="O45" s="48">
        <f t="shared" si="21"/>
        <v>-31482.588462002554</v>
      </c>
      <c r="P45" s="48">
        <f t="shared" si="21"/>
        <v>-23689.848767615102</v>
      </c>
      <c r="Q45" s="48">
        <f t="shared" si="21"/>
        <v>-11614.902733541378</v>
      </c>
      <c r="R45" s="48">
        <f>R102</f>
        <v>5086.7980409029733</v>
      </c>
      <c r="S45" s="48">
        <f t="shared" si="21"/>
        <v>24897.760717552716</v>
      </c>
      <c r="T45" s="48">
        <f t="shared" si="21"/>
        <v>48058.684819975555</v>
      </c>
      <c r="U45" s="48">
        <f t="shared" si="21"/>
        <v>74681.225149207632</v>
      </c>
      <c r="V45" s="48">
        <f t="shared" si="21"/>
        <v>105076.87993787699</v>
      </c>
    </row>
    <row r="46" spans="1:23" x14ac:dyDescent="0.35">
      <c r="D46" s="1" t="s">
        <v>160</v>
      </c>
      <c r="F46" s="47" t="s">
        <v>155</v>
      </c>
      <c r="H46" s="49">
        <f>Historical!H44</f>
        <v>662.63</v>
      </c>
      <c r="I46" s="49">
        <f>Historical!I44</f>
        <v>1294</v>
      </c>
      <c r="J46" s="49">
        <f>Historical!J44</f>
        <v>7073</v>
      </c>
      <c r="K46" s="49">
        <f>Historical!K44</f>
        <v>6822</v>
      </c>
      <c r="L46" s="49">
        <f>Historical!L44</f>
        <v>15323</v>
      </c>
      <c r="M46" s="48">
        <f t="shared" ref="M46:V46" si="22">L46</f>
        <v>15323</v>
      </c>
      <c r="N46" s="48">
        <f t="shared" si="22"/>
        <v>15323</v>
      </c>
      <c r="O46" s="48">
        <f t="shared" si="22"/>
        <v>15323</v>
      </c>
      <c r="P46" s="48">
        <f t="shared" si="22"/>
        <v>15323</v>
      </c>
      <c r="Q46" s="48">
        <f t="shared" si="22"/>
        <v>15323</v>
      </c>
      <c r="R46" s="48">
        <f t="shared" si="22"/>
        <v>15323</v>
      </c>
      <c r="S46" s="48">
        <f t="shared" si="22"/>
        <v>15323</v>
      </c>
      <c r="T46" s="48">
        <f t="shared" si="22"/>
        <v>15323</v>
      </c>
      <c r="U46" s="48">
        <f t="shared" si="22"/>
        <v>15323</v>
      </c>
      <c r="V46" s="48">
        <f t="shared" si="22"/>
        <v>15323</v>
      </c>
    </row>
    <row r="47" spans="1:23" x14ac:dyDescent="0.35">
      <c r="D47" s="1" t="s">
        <v>132</v>
      </c>
      <c r="F47" s="47" t="s">
        <v>155</v>
      </c>
      <c r="H47" s="49">
        <f>Historical!H42</f>
        <v>258.43</v>
      </c>
      <c r="I47" s="49">
        <f>Historical!I42</f>
        <v>262</v>
      </c>
      <c r="J47" s="49">
        <f>Historical!J42</f>
        <v>317</v>
      </c>
      <c r="K47" s="49">
        <f>Historical!K42</f>
        <v>426</v>
      </c>
      <c r="L47" s="49">
        <f>Historical!L42</f>
        <v>860</v>
      </c>
      <c r="M47" s="48">
        <f>(M$25*M$17)/365</f>
        <v>995.77686902666915</v>
      </c>
      <c r="N47" s="48">
        <f t="shared" ref="N47:V47" si="23">(N$25*N$17)/365</f>
        <v>1100.3334402744692</v>
      </c>
      <c r="O47" s="48">
        <f t="shared" si="23"/>
        <v>1199.3634498991717</v>
      </c>
      <c r="P47" s="48">
        <f t="shared" si="23"/>
        <v>1295.3125258911055</v>
      </c>
      <c r="Q47" s="48">
        <f t="shared" si="23"/>
        <v>1385.9844027034826</v>
      </c>
      <c r="R47" s="48">
        <f>(R$25*R$17)/365</f>
        <v>1469.1434668656921</v>
      </c>
      <c r="S47" s="48">
        <f t="shared" si="23"/>
        <v>1549.9463575433049</v>
      </c>
      <c r="T47" s="48">
        <f t="shared" si="23"/>
        <v>1627.4436754204703</v>
      </c>
      <c r="U47" s="48">
        <f t="shared" si="23"/>
        <v>1700.6786408143914</v>
      </c>
      <c r="V47" s="48">
        <f t="shared" si="23"/>
        <v>1768.7057864469671</v>
      </c>
    </row>
    <row r="48" spans="1:23" x14ac:dyDescent="0.35">
      <c r="D48" s="1" t="s">
        <v>134</v>
      </c>
      <c r="F48" s="47" t="s">
        <v>155</v>
      </c>
      <c r="H48" s="49">
        <f>Historical!H40</f>
        <v>64923.02</v>
      </c>
      <c r="I48" s="49">
        <f>Historical!I40</f>
        <v>75002</v>
      </c>
      <c r="J48" s="49">
        <f>Historical!J40</f>
        <v>98234</v>
      </c>
      <c r="K48" s="49">
        <f>Historical!K40</f>
        <v>118923</v>
      </c>
      <c r="L48" s="49">
        <f>Historical!L40</f>
        <v>197857</v>
      </c>
      <c r="M48" s="48">
        <f>-(M$26*M$18)/365</f>
        <v>264751.7608822856</v>
      </c>
      <c r="N48" s="48">
        <f t="shared" ref="N48:V48" si="24">-(N$26*N$18)/365</f>
        <v>292550.69577492564</v>
      </c>
      <c r="O48" s="48">
        <f t="shared" si="24"/>
        <v>318880.25839466893</v>
      </c>
      <c r="P48" s="48">
        <f t="shared" si="24"/>
        <v>344390.67906624248</v>
      </c>
      <c r="Q48" s="48">
        <f t="shared" si="24"/>
        <v>368498.02660087944</v>
      </c>
      <c r="R48" s="48">
        <f t="shared" si="24"/>
        <v>390607.90819693223</v>
      </c>
      <c r="S48" s="48">
        <f t="shared" si="24"/>
        <v>412091.34314776346</v>
      </c>
      <c r="T48" s="48">
        <f t="shared" si="24"/>
        <v>432695.91030515172</v>
      </c>
      <c r="U48" s="48">
        <f t="shared" si="24"/>
        <v>452167.2262688835</v>
      </c>
      <c r="V48" s="48">
        <f t="shared" si="24"/>
        <v>470253.91531963879</v>
      </c>
    </row>
    <row r="49" spans="2:23" x14ac:dyDescent="0.35">
      <c r="D49" s="1" t="s">
        <v>161</v>
      </c>
      <c r="F49" s="47" t="s">
        <v>155</v>
      </c>
      <c r="H49" s="49">
        <f>SUM(Historical!H46:H47)</f>
        <v>1299.99</v>
      </c>
      <c r="I49" s="49">
        <f>SUM(Historical!I46:I47)</f>
        <v>2932</v>
      </c>
      <c r="J49" s="49">
        <f>SUM(Historical!J46:J47)</f>
        <v>4719</v>
      </c>
      <c r="K49" s="49">
        <f>SUM(Historical!K46:K47)</f>
        <v>3097</v>
      </c>
      <c r="L49" s="49">
        <f>SUM(Historical!L46:L47)</f>
        <v>8990</v>
      </c>
      <c r="M49" s="48">
        <f t="shared" ref="M49:V49" si="25">L49</f>
        <v>8990</v>
      </c>
      <c r="N49" s="48">
        <f t="shared" si="25"/>
        <v>8990</v>
      </c>
      <c r="O49" s="48">
        <f t="shared" si="25"/>
        <v>8990</v>
      </c>
      <c r="P49" s="48">
        <f t="shared" si="25"/>
        <v>8990</v>
      </c>
      <c r="Q49" s="48">
        <f t="shared" si="25"/>
        <v>8990</v>
      </c>
      <c r="R49" s="48">
        <f t="shared" si="25"/>
        <v>8990</v>
      </c>
      <c r="S49" s="48">
        <f t="shared" si="25"/>
        <v>8990</v>
      </c>
      <c r="T49" s="48">
        <f t="shared" si="25"/>
        <v>8990</v>
      </c>
      <c r="U49" s="48">
        <f t="shared" si="25"/>
        <v>8990</v>
      </c>
      <c r="V49" s="48">
        <f t="shared" si="25"/>
        <v>8990</v>
      </c>
    </row>
    <row r="50" spans="2:23" x14ac:dyDescent="0.35">
      <c r="F50" s="47" t="s">
        <v>155</v>
      </c>
      <c r="H50" s="49"/>
      <c r="I50" s="49"/>
      <c r="J50" s="49"/>
      <c r="K50" s="49"/>
      <c r="L50" s="49"/>
      <c r="M50" s="48"/>
      <c r="N50" s="48"/>
      <c r="O50" s="48"/>
      <c r="P50" s="48"/>
      <c r="Q50" s="48"/>
      <c r="R50" s="48"/>
      <c r="S50" s="48"/>
      <c r="T50" s="48"/>
      <c r="U50" s="48"/>
      <c r="V50" s="48"/>
    </row>
    <row r="51" spans="2:23" x14ac:dyDescent="0.35">
      <c r="C51" s="4" t="s">
        <v>162</v>
      </c>
      <c r="F51" s="47" t="s">
        <v>155</v>
      </c>
      <c r="H51" s="49"/>
      <c r="I51" s="49"/>
      <c r="J51" s="49"/>
      <c r="K51" s="49"/>
      <c r="L51" s="49"/>
      <c r="M51" s="48"/>
      <c r="N51" s="48"/>
      <c r="O51" s="48"/>
      <c r="P51" s="48"/>
      <c r="Q51" s="48"/>
      <c r="R51" s="48"/>
      <c r="S51" s="48"/>
      <c r="T51" s="48"/>
      <c r="U51" s="48"/>
      <c r="V51" s="48"/>
    </row>
    <row r="52" spans="2:23" x14ac:dyDescent="0.35">
      <c r="D52" s="1" t="s">
        <v>163</v>
      </c>
      <c r="F52" s="47" t="s">
        <v>155</v>
      </c>
      <c r="H52" s="49">
        <f>SUM(Historical!H30:H33)</f>
        <v>8107.01</v>
      </c>
      <c r="I52" s="49">
        <f>SUM(Historical!I30:I33)</f>
        <v>9128</v>
      </c>
      <c r="J52" s="49">
        <f>SUM(Historical!J30:J33)</f>
        <v>12173</v>
      </c>
      <c r="K52" s="49">
        <f>SUM(Historical!K30:K33)</f>
        <v>15589</v>
      </c>
      <c r="L52" s="49">
        <f>SUM(Historical!L30:L33)</f>
        <v>21188</v>
      </c>
      <c r="M52" s="48">
        <f>M$118</f>
        <v>23089.670794765887</v>
      </c>
      <c r="N52" s="48">
        <f t="shared" ref="N52:V52" si="26">N$118</f>
        <v>24751.184485197475</v>
      </c>
      <c r="O52" s="48">
        <f t="shared" si="26"/>
        <v>26206.051970427547</v>
      </c>
      <c r="P52" s="48">
        <f t="shared" si="26"/>
        <v>26620.072762202137</v>
      </c>
      <c r="Q52" s="48">
        <f t="shared" si="26"/>
        <v>26987.4988713446</v>
      </c>
      <c r="R52" s="48">
        <f t="shared" si="26"/>
        <v>27316.46601945733</v>
      </c>
      <c r="S52" s="48">
        <f t="shared" si="26"/>
        <v>27967.00467982679</v>
      </c>
      <c r="T52" s="48">
        <f t="shared" si="26"/>
        <v>28539.060125552278</v>
      </c>
      <c r="U52" s="48">
        <f t="shared" si="26"/>
        <v>29045.238629854251</v>
      </c>
      <c r="V52" s="48">
        <f t="shared" si="26"/>
        <v>28539.585493845898</v>
      </c>
    </row>
    <row r="53" spans="2:23" x14ac:dyDescent="0.35">
      <c r="D53" s="1" t="s">
        <v>164</v>
      </c>
      <c r="F53" s="47" t="s">
        <v>155</v>
      </c>
      <c r="H53" s="80">
        <v>0</v>
      </c>
      <c r="I53" s="80">
        <v>0</v>
      </c>
      <c r="J53" s="80">
        <v>0</v>
      </c>
      <c r="K53" s="80">
        <v>0</v>
      </c>
      <c r="L53" s="80">
        <v>0</v>
      </c>
      <c r="M53" s="80">
        <v>0</v>
      </c>
      <c r="N53" s="80">
        <v>0</v>
      </c>
      <c r="O53" s="80">
        <v>0</v>
      </c>
      <c r="P53" s="80">
        <v>0</v>
      </c>
      <c r="Q53" s="80">
        <v>0</v>
      </c>
      <c r="R53" s="80">
        <v>0</v>
      </c>
      <c r="S53" s="80">
        <v>0</v>
      </c>
      <c r="T53" s="80">
        <v>0</v>
      </c>
      <c r="U53" s="80">
        <v>0</v>
      </c>
      <c r="V53" s="80">
        <v>0</v>
      </c>
    </row>
    <row r="54" spans="2:23" x14ac:dyDescent="0.35">
      <c r="D54" s="1" t="s">
        <v>165</v>
      </c>
      <c r="F54" s="47" t="s">
        <v>155</v>
      </c>
      <c r="H54" s="49">
        <f>SUM(Historical!H35,Historical!H45)</f>
        <v>91.88</v>
      </c>
      <c r="I54" s="49">
        <f>SUM(Historical!I35,Historical!I45)</f>
        <v>107</v>
      </c>
      <c r="J54" s="49">
        <f>SUM(Historical!J35,Historical!J45)</f>
        <v>115</v>
      </c>
      <c r="K54" s="49">
        <f>SUM(Historical!K35,Historical!K45)</f>
        <v>178</v>
      </c>
      <c r="L54" s="49">
        <f>SUM(Historical!L35,Historical!L45)</f>
        <v>285</v>
      </c>
      <c r="M54" s="48">
        <f t="shared" ref="M54:V54" si="27">L54</f>
        <v>285</v>
      </c>
      <c r="N54" s="48">
        <f t="shared" si="27"/>
        <v>285</v>
      </c>
      <c r="O54" s="48">
        <f t="shared" si="27"/>
        <v>285</v>
      </c>
      <c r="P54" s="48">
        <f t="shared" si="27"/>
        <v>285</v>
      </c>
      <c r="Q54" s="48">
        <f t="shared" si="27"/>
        <v>285</v>
      </c>
      <c r="R54" s="48">
        <f t="shared" si="27"/>
        <v>285</v>
      </c>
      <c r="S54" s="48">
        <f t="shared" si="27"/>
        <v>285</v>
      </c>
      <c r="T54" s="48">
        <f t="shared" si="27"/>
        <v>285</v>
      </c>
      <c r="U54" s="48">
        <f t="shared" si="27"/>
        <v>285</v>
      </c>
      <c r="V54" s="48">
        <f t="shared" si="27"/>
        <v>285</v>
      </c>
    </row>
    <row r="55" spans="2:23" x14ac:dyDescent="0.35">
      <c r="D55" s="1" t="s">
        <v>166</v>
      </c>
      <c r="F55" s="47" t="s">
        <v>155</v>
      </c>
      <c r="H55" s="49">
        <f>SUM(Historical!H36:H37)</f>
        <v>1119.71</v>
      </c>
      <c r="I55" s="49">
        <f>SUM(Historical!I36:I37)</f>
        <v>1422</v>
      </c>
      <c r="J55" s="49">
        <f>SUM(Historical!J36:J37)</f>
        <v>1459</v>
      </c>
      <c r="K55" s="49">
        <f>SUM(Historical!K36:K37)</f>
        <v>1718</v>
      </c>
      <c r="L55" s="49">
        <f>SUM(Historical!L36:L37)</f>
        <v>2563</v>
      </c>
      <c r="M55" s="48">
        <f t="shared" ref="M55:V55" si="28">L55</f>
        <v>2563</v>
      </c>
      <c r="N55" s="48">
        <f t="shared" si="28"/>
        <v>2563</v>
      </c>
      <c r="O55" s="48">
        <f t="shared" si="28"/>
        <v>2563</v>
      </c>
      <c r="P55" s="48">
        <f t="shared" si="28"/>
        <v>2563</v>
      </c>
      <c r="Q55" s="48">
        <f t="shared" si="28"/>
        <v>2563</v>
      </c>
      <c r="R55" s="48">
        <f t="shared" si="28"/>
        <v>2563</v>
      </c>
      <c r="S55" s="48">
        <f t="shared" si="28"/>
        <v>2563</v>
      </c>
      <c r="T55" s="48">
        <f t="shared" si="28"/>
        <v>2563</v>
      </c>
      <c r="U55" s="48">
        <f t="shared" si="28"/>
        <v>2563</v>
      </c>
      <c r="V55" s="48">
        <f t="shared" si="28"/>
        <v>2563</v>
      </c>
      <c r="W55" s="38"/>
    </row>
    <row r="56" spans="2:23" ht="16" thickBot="1" x14ac:dyDescent="0.4">
      <c r="D56" s="54" t="s">
        <v>167</v>
      </c>
      <c r="E56" s="54"/>
      <c r="F56" s="67" t="s">
        <v>155</v>
      </c>
      <c r="G56" s="54"/>
      <c r="H56" s="76">
        <f t="shared" ref="H56:M56" si="29">SUM(H45:H55)</f>
        <v>77492.590000000011</v>
      </c>
      <c r="I56" s="76">
        <f t="shared" si="29"/>
        <v>90512</v>
      </c>
      <c r="J56" s="76">
        <f t="shared" si="29"/>
        <v>124656</v>
      </c>
      <c r="K56" s="76">
        <f t="shared" si="29"/>
        <v>148110</v>
      </c>
      <c r="L56" s="76">
        <f t="shared" si="29"/>
        <v>255922</v>
      </c>
      <c r="M56" s="76">
        <f t="shared" si="29"/>
        <v>281816.97635970102</v>
      </c>
      <c r="N56" s="76">
        <f t="shared" ref="N56:V56" si="30">SUM(N45:N55)</f>
        <v>310404.08143143158</v>
      </c>
      <c r="O56" s="76">
        <f t="shared" si="30"/>
        <v>341964.0853529931</v>
      </c>
      <c r="P56" s="76">
        <f t="shared" si="30"/>
        <v>375777.21558672062</v>
      </c>
      <c r="Q56" s="76">
        <f t="shared" si="30"/>
        <v>412417.60714138614</v>
      </c>
      <c r="R56" s="76">
        <f t="shared" si="30"/>
        <v>451641.31572415819</v>
      </c>
      <c r="S56" s="76">
        <f t="shared" si="30"/>
        <v>493667.05490268627</v>
      </c>
      <c r="T56" s="76">
        <f t="shared" si="30"/>
        <v>538082.09892609995</v>
      </c>
      <c r="U56" s="76">
        <f t="shared" si="30"/>
        <v>584755.36868875986</v>
      </c>
      <c r="V56" s="76">
        <f t="shared" si="30"/>
        <v>632800.08653780865</v>
      </c>
    </row>
    <row r="57" spans="2:23" ht="16" thickTop="1" x14ac:dyDescent="0.35">
      <c r="H57" s="48"/>
      <c r="I57" s="48"/>
      <c r="J57" s="48"/>
      <c r="K57" s="48"/>
      <c r="L57" s="48"/>
      <c r="M57" s="48"/>
      <c r="N57" s="48"/>
      <c r="O57" s="48"/>
      <c r="P57" s="48"/>
      <c r="Q57" s="48"/>
      <c r="R57" s="48"/>
      <c r="S57" s="48"/>
      <c r="T57" s="48"/>
      <c r="U57" s="48"/>
      <c r="V57" s="48"/>
    </row>
    <row r="58" spans="2:23" x14ac:dyDescent="0.35">
      <c r="B58" s="4" t="s">
        <v>168</v>
      </c>
      <c r="H58" s="48"/>
      <c r="I58" s="48"/>
      <c r="J58" s="48"/>
      <c r="K58" s="48"/>
      <c r="L58" s="48"/>
      <c r="M58" s="48"/>
      <c r="N58" s="48"/>
      <c r="O58" s="48"/>
      <c r="P58" s="48"/>
      <c r="Q58" s="48"/>
      <c r="R58" s="48"/>
      <c r="S58" s="48"/>
      <c r="T58" s="48"/>
      <c r="U58" s="48"/>
      <c r="V58" s="48"/>
    </row>
    <row r="59" spans="2:23" x14ac:dyDescent="0.35">
      <c r="C59" s="4" t="s">
        <v>169</v>
      </c>
      <c r="H59" s="234">
        <f>SUM(H60:H61)</f>
        <v>19670.22</v>
      </c>
      <c r="I59" s="234">
        <f t="shared" ref="I59:V59" si="31">SUM(I60:I61)</f>
        <v>16103</v>
      </c>
      <c r="J59" s="234">
        <f t="shared" si="31"/>
        <v>28680</v>
      </c>
      <c r="K59" s="234">
        <f t="shared" si="31"/>
        <v>45600</v>
      </c>
      <c r="L59" s="234">
        <f t="shared" si="31"/>
        <v>65962</v>
      </c>
      <c r="M59" s="234">
        <f t="shared" si="31"/>
        <v>66859.246556715603</v>
      </c>
      <c r="N59" s="234">
        <f t="shared" si="31"/>
        <v>67300.692445170731</v>
      </c>
      <c r="O59" s="234">
        <f t="shared" si="31"/>
        <v>67718.804765236098</v>
      </c>
      <c r="P59" s="234">
        <f t="shared" si="31"/>
        <v>68123.909146454986</v>
      </c>
      <c r="Q59" s="234">
        <f t="shared" si="31"/>
        <v>68506.732786706838</v>
      </c>
      <c r="R59" s="234">
        <f t="shared" si="31"/>
        <v>68857.836753909243</v>
      </c>
      <c r="S59" s="238">
        <f t="shared" si="31"/>
        <v>69198.992775374252</v>
      </c>
      <c r="T59" s="238">
        <f t="shared" si="31"/>
        <v>69526.192414142977</v>
      </c>
      <c r="U59" s="238">
        <f t="shared" si="31"/>
        <v>69835.396072779404</v>
      </c>
      <c r="V59" s="238">
        <f t="shared" si="31"/>
        <v>70122.611915690577</v>
      </c>
    </row>
    <row r="60" spans="2:23" x14ac:dyDescent="0.35">
      <c r="D60" s="1" t="s">
        <v>135</v>
      </c>
      <c r="F60" s="47" t="s">
        <v>155</v>
      </c>
      <c r="H60" s="49">
        <f>SUM(Historical!H64:H65)</f>
        <v>1281.01</v>
      </c>
      <c r="I60" s="49">
        <f>SUM(Historical!I64:I65)</f>
        <v>744</v>
      </c>
      <c r="J60" s="49">
        <f>SUM(Historical!J64:J65)</f>
        <v>1983</v>
      </c>
      <c r="K60" s="49">
        <f>SUM(Historical!K64:K65)</f>
        <v>1751</v>
      </c>
      <c r="L60" s="49">
        <f>SUM(Historical!L64:L65)</f>
        <v>3307</v>
      </c>
      <c r="M60" s="48">
        <f>-(M$26*M$19)/365</f>
        <v>4204.2465567155969</v>
      </c>
      <c r="N60" s="48">
        <f t="shared" ref="N60:V60" si="32">-(N$26*N$19)/365</f>
        <v>4645.6924451707337</v>
      </c>
      <c r="O60" s="48">
        <f t="shared" si="32"/>
        <v>5063.8047652361001</v>
      </c>
      <c r="P60" s="48">
        <f t="shared" si="32"/>
        <v>5468.9091464549883</v>
      </c>
      <c r="Q60" s="48">
        <f t="shared" si="32"/>
        <v>5851.7327867068379</v>
      </c>
      <c r="R60" s="48">
        <f t="shared" si="32"/>
        <v>6202.8367539092487</v>
      </c>
      <c r="S60" s="48">
        <f t="shared" si="32"/>
        <v>6543.9927753742568</v>
      </c>
      <c r="T60" s="48">
        <f t="shared" si="32"/>
        <v>6871.1924141429708</v>
      </c>
      <c r="U60" s="48">
        <f t="shared" si="32"/>
        <v>7180.3960727794047</v>
      </c>
      <c r="V60" s="48">
        <f t="shared" si="32"/>
        <v>7467.6119156905797</v>
      </c>
    </row>
    <row r="61" spans="2:23" x14ac:dyDescent="0.35">
      <c r="D61" s="1" t="s">
        <v>170</v>
      </c>
      <c r="F61" s="47" t="s">
        <v>155</v>
      </c>
      <c r="H61" s="49">
        <f>SUM(Historical!H68:H70)</f>
        <v>18389.210000000003</v>
      </c>
      <c r="I61" s="49">
        <f>SUM(Historical!I68:I70)</f>
        <v>15359</v>
      </c>
      <c r="J61" s="49">
        <f>SUM(Historical!J68:J70)</f>
        <v>26697</v>
      </c>
      <c r="K61" s="49">
        <f>SUM(Historical!K68:K70)</f>
        <v>43849</v>
      </c>
      <c r="L61" s="49">
        <f>SUM(Historical!L68:L70)</f>
        <v>62655</v>
      </c>
      <c r="M61" s="48">
        <f t="shared" ref="M61:V61" si="33">L61</f>
        <v>62655</v>
      </c>
      <c r="N61" s="48">
        <f t="shared" si="33"/>
        <v>62655</v>
      </c>
      <c r="O61" s="48">
        <f t="shared" si="33"/>
        <v>62655</v>
      </c>
      <c r="P61" s="48">
        <f t="shared" si="33"/>
        <v>62655</v>
      </c>
      <c r="Q61" s="48">
        <f t="shared" si="33"/>
        <v>62655</v>
      </c>
      <c r="R61" s="48">
        <f t="shared" si="33"/>
        <v>62655</v>
      </c>
      <c r="S61" s="48">
        <f t="shared" si="33"/>
        <v>62655</v>
      </c>
      <c r="T61" s="48">
        <f t="shared" si="33"/>
        <v>62655</v>
      </c>
      <c r="U61" s="48">
        <f t="shared" si="33"/>
        <v>62655</v>
      </c>
      <c r="V61" s="48">
        <f t="shared" si="33"/>
        <v>62655</v>
      </c>
    </row>
    <row r="62" spans="2:23" x14ac:dyDescent="0.35">
      <c r="C62" s="4" t="s">
        <v>171</v>
      </c>
      <c r="F62" s="47" t="s">
        <v>155</v>
      </c>
      <c r="H62" s="49"/>
      <c r="I62" s="49"/>
      <c r="J62" s="49"/>
      <c r="K62" s="49"/>
      <c r="L62" s="49"/>
      <c r="M62" s="48"/>
      <c r="N62" s="48"/>
      <c r="O62" s="48"/>
      <c r="P62" s="48"/>
      <c r="Q62" s="48"/>
      <c r="R62" s="48"/>
      <c r="S62" s="48"/>
      <c r="T62" s="48"/>
      <c r="U62" s="48"/>
      <c r="V62" s="48"/>
    </row>
    <row r="63" spans="2:23" x14ac:dyDescent="0.35">
      <c r="D63" s="1" t="s">
        <v>172</v>
      </c>
      <c r="F63" s="47" t="s">
        <v>155</v>
      </c>
      <c r="H63" s="49">
        <f>SUM(Historical!H$57:H$58,Historical!H$62,Historical!H$67)</f>
        <v>28030.82</v>
      </c>
      <c r="I63" s="49">
        <f>SUM(Historical!I$57:I$58,Historical!I$62,Historical!I$67)</f>
        <v>41982</v>
      </c>
      <c r="J63" s="49">
        <f>SUM(Historical!J$57:J$58,Historical!J$62,Historical!J$67)</f>
        <v>57097</v>
      </c>
      <c r="K63" s="49">
        <f>SUM(Historical!K$57:K$58,Historical!K$62,Historical!K$67)</f>
        <v>53192</v>
      </c>
      <c r="L63" s="49">
        <f>SUM(Historical!L$57:L$58,Historical!L$62,Historical!L$67)</f>
        <v>79725</v>
      </c>
      <c r="M63" s="48">
        <f t="shared" ref="M63:V63" si="34">M121</f>
        <v>79725</v>
      </c>
      <c r="N63" s="48">
        <f t="shared" si="34"/>
        <v>79725</v>
      </c>
      <c r="O63" s="48">
        <f t="shared" si="34"/>
        <v>79725</v>
      </c>
      <c r="P63" s="48">
        <f t="shared" si="34"/>
        <v>79725</v>
      </c>
      <c r="Q63" s="48">
        <f t="shared" si="34"/>
        <v>79725</v>
      </c>
      <c r="R63" s="48">
        <f t="shared" si="34"/>
        <v>79725</v>
      </c>
      <c r="S63" s="48">
        <f t="shared" si="34"/>
        <v>79725</v>
      </c>
      <c r="T63" s="48">
        <f t="shared" si="34"/>
        <v>79725</v>
      </c>
      <c r="U63" s="48">
        <f t="shared" si="34"/>
        <v>79725</v>
      </c>
      <c r="V63" s="48">
        <f t="shared" si="34"/>
        <v>79725</v>
      </c>
      <c r="W63" s="38"/>
    </row>
    <row r="64" spans="2:23" x14ac:dyDescent="0.35">
      <c r="D64" s="1" t="s">
        <v>173</v>
      </c>
      <c r="F64" s="68" t="s">
        <v>155</v>
      </c>
      <c r="H64" s="79">
        <f>Historical!H59-Historical!H58-Historical!H57</f>
        <v>0</v>
      </c>
      <c r="I64" s="79">
        <f>Historical!I59-Historical!I58-Historical!I57</f>
        <v>0</v>
      </c>
      <c r="J64" s="79">
        <f>Historical!J59-Historical!J58-Historical!J57</f>
        <v>0</v>
      </c>
      <c r="K64" s="79">
        <f>Historical!K59-Historical!K58-Historical!K57</f>
        <v>0</v>
      </c>
      <c r="L64" s="79">
        <f>Historical!L59-Historical!L58-Historical!L57</f>
        <v>0</v>
      </c>
      <c r="M64" s="48">
        <v>0</v>
      </c>
      <c r="N64" s="48">
        <v>0</v>
      </c>
      <c r="O64" s="48">
        <v>0</v>
      </c>
      <c r="P64" s="48">
        <v>0</v>
      </c>
      <c r="Q64" s="48">
        <v>0</v>
      </c>
      <c r="R64" s="48">
        <v>0</v>
      </c>
      <c r="S64" s="48">
        <v>0</v>
      </c>
      <c r="T64" s="48">
        <v>0</v>
      </c>
      <c r="U64" s="48">
        <v>0</v>
      </c>
      <c r="V64" s="48">
        <v>0</v>
      </c>
    </row>
    <row r="65" spans="1:23" x14ac:dyDescent="0.35">
      <c r="D65" s="51" t="s">
        <v>67</v>
      </c>
      <c r="E65" s="50"/>
      <c r="F65" s="43" t="s">
        <v>154</v>
      </c>
      <c r="G65" s="50"/>
      <c r="H65" s="53">
        <f t="shared" ref="H65:V65" si="35">SUM(H60:H64)</f>
        <v>47701.04</v>
      </c>
      <c r="I65" s="53">
        <f t="shared" si="35"/>
        <v>58085</v>
      </c>
      <c r="J65" s="53">
        <f t="shared" si="35"/>
        <v>85777</v>
      </c>
      <c r="K65" s="53">
        <f t="shared" si="35"/>
        <v>98792</v>
      </c>
      <c r="L65" s="53">
        <f t="shared" si="35"/>
        <v>145687</v>
      </c>
      <c r="M65" s="53">
        <f t="shared" si="35"/>
        <v>146584.2465567156</v>
      </c>
      <c r="N65" s="53">
        <f t="shared" si="35"/>
        <v>147025.69244517072</v>
      </c>
      <c r="O65" s="53">
        <f t="shared" si="35"/>
        <v>147443.8047652361</v>
      </c>
      <c r="P65" s="53">
        <f t="shared" si="35"/>
        <v>147848.909146455</v>
      </c>
      <c r="Q65" s="53">
        <f t="shared" si="35"/>
        <v>148231.73278670682</v>
      </c>
      <c r="R65" s="53">
        <f t="shared" si="35"/>
        <v>148582.83675390924</v>
      </c>
      <c r="S65" s="53">
        <f t="shared" si="35"/>
        <v>148923.99277537427</v>
      </c>
      <c r="T65" s="53">
        <f t="shared" si="35"/>
        <v>149251.19241414298</v>
      </c>
      <c r="U65" s="53">
        <f t="shared" si="35"/>
        <v>149560.3960727794</v>
      </c>
      <c r="V65" s="53">
        <f t="shared" si="35"/>
        <v>149847.61191569059</v>
      </c>
    </row>
    <row r="66" spans="1:23" x14ac:dyDescent="0.35">
      <c r="C66" s="4" t="s">
        <v>174</v>
      </c>
      <c r="H66" s="49"/>
      <c r="I66" s="49"/>
      <c r="J66" s="49"/>
      <c r="K66" s="49"/>
      <c r="L66" s="49"/>
      <c r="M66" s="48"/>
      <c r="N66" s="48"/>
      <c r="O66" s="48"/>
      <c r="P66" s="48"/>
      <c r="Q66" s="48"/>
      <c r="R66" s="48"/>
      <c r="S66" s="48"/>
      <c r="T66" s="48"/>
      <c r="U66" s="48"/>
      <c r="V66" s="48"/>
    </row>
    <row r="67" spans="1:23" x14ac:dyDescent="0.35">
      <c r="D67" s="1" t="s">
        <v>175</v>
      </c>
      <c r="F67" s="47" t="s">
        <v>155</v>
      </c>
      <c r="H67" s="49">
        <f>Historical!H52</f>
        <v>1371.96</v>
      </c>
      <c r="I67" s="49">
        <f>Historical!I52</f>
        <v>1372</v>
      </c>
      <c r="J67" s="49">
        <f>Historical!J52</f>
        <v>1372</v>
      </c>
      <c r="K67" s="49">
        <f>Historical!K52</f>
        <v>2744</v>
      </c>
      <c r="L67" s="49">
        <f>Historical!L52</f>
        <v>3108</v>
      </c>
      <c r="M67" s="48">
        <f t="shared" ref="M67:V67" si="36">L67</f>
        <v>3108</v>
      </c>
      <c r="N67" s="48">
        <f t="shared" si="36"/>
        <v>3108</v>
      </c>
      <c r="O67" s="48">
        <f t="shared" si="36"/>
        <v>3108</v>
      </c>
      <c r="P67" s="48">
        <f t="shared" si="36"/>
        <v>3108</v>
      </c>
      <c r="Q67" s="48">
        <f t="shared" si="36"/>
        <v>3108</v>
      </c>
      <c r="R67" s="48">
        <f t="shared" si="36"/>
        <v>3108</v>
      </c>
      <c r="S67" s="48">
        <f t="shared" si="36"/>
        <v>3108</v>
      </c>
      <c r="T67" s="48">
        <f t="shared" si="36"/>
        <v>3108</v>
      </c>
      <c r="U67" s="48">
        <f t="shared" si="36"/>
        <v>3108</v>
      </c>
      <c r="V67" s="48">
        <f t="shared" si="36"/>
        <v>3108</v>
      </c>
    </row>
    <row r="68" spans="1:23" x14ac:dyDescent="0.35">
      <c r="D68" s="1" t="s">
        <v>176</v>
      </c>
      <c r="F68" s="68" t="s">
        <v>155</v>
      </c>
      <c r="H68" s="49">
        <f>Historical!H53</f>
        <v>28419.599999999999</v>
      </c>
      <c r="I68" s="49">
        <f>Historical!I53</f>
        <v>31055</v>
      </c>
      <c r="J68" s="49">
        <f>Historical!J53</f>
        <v>37507</v>
      </c>
      <c r="K68" s="49">
        <f>Historical!K53</f>
        <v>46574</v>
      </c>
      <c r="L68" s="49">
        <f>Historical!L53</f>
        <v>107127</v>
      </c>
      <c r="M68" s="48">
        <f t="shared" ref="M68:V68" si="37">L$68+M$38+M$96</f>
        <v>132124.72980298544</v>
      </c>
      <c r="N68" s="48">
        <f t="shared" si="37"/>
        <v>160270.38898626083</v>
      </c>
      <c r="O68" s="48">
        <f t="shared" si="37"/>
        <v>191412.28058775698</v>
      </c>
      <c r="P68" s="48">
        <f t="shared" si="37"/>
        <v>224820.30644026565</v>
      </c>
      <c r="Q68" s="48">
        <f t="shared" si="37"/>
        <v>261077.87435467934</v>
      </c>
      <c r="R68" s="48">
        <f t="shared" si="37"/>
        <v>299950.47897024901</v>
      </c>
      <c r="S68" s="48">
        <f t="shared" si="37"/>
        <v>341635.06212731206</v>
      </c>
      <c r="T68" s="48">
        <f t="shared" si="37"/>
        <v>385722.90651195712</v>
      </c>
      <c r="U68" s="48">
        <f t="shared" si="37"/>
        <v>432086.97261598043</v>
      </c>
      <c r="V68" s="48">
        <f t="shared" si="37"/>
        <v>479844.47462211811</v>
      </c>
      <c r="W68" s="38"/>
    </row>
    <row r="69" spans="1:23" x14ac:dyDescent="0.35">
      <c r="D69" s="51" t="s">
        <v>177</v>
      </c>
      <c r="E69" s="50"/>
      <c r="F69" s="47" t="s">
        <v>155</v>
      </c>
      <c r="G69" s="50"/>
      <c r="H69" s="53">
        <f t="shared" ref="H69:V69" si="38">SUM(H67:H68)</f>
        <v>29791.559999999998</v>
      </c>
      <c r="I69" s="53">
        <f t="shared" si="38"/>
        <v>32427</v>
      </c>
      <c r="J69" s="53">
        <f t="shared" si="38"/>
        <v>38879</v>
      </c>
      <c r="K69" s="53">
        <f t="shared" si="38"/>
        <v>49318</v>
      </c>
      <c r="L69" s="53">
        <f t="shared" si="38"/>
        <v>110235</v>
      </c>
      <c r="M69" s="53">
        <f t="shared" si="38"/>
        <v>135232.72980298544</v>
      </c>
      <c r="N69" s="53">
        <f t="shared" si="38"/>
        <v>163378.38898626083</v>
      </c>
      <c r="O69" s="53">
        <f t="shared" si="38"/>
        <v>194520.28058775698</v>
      </c>
      <c r="P69" s="53">
        <f t="shared" si="38"/>
        <v>227928.30644026565</v>
      </c>
      <c r="Q69" s="53">
        <f t="shared" si="38"/>
        <v>264185.87435467937</v>
      </c>
      <c r="R69" s="53">
        <f t="shared" si="38"/>
        <v>303058.47897024901</v>
      </c>
      <c r="S69" s="53">
        <f t="shared" si="38"/>
        <v>344743.06212731206</v>
      </c>
      <c r="T69" s="53">
        <f t="shared" si="38"/>
        <v>388830.90651195712</v>
      </c>
      <c r="U69" s="53">
        <f t="shared" si="38"/>
        <v>435194.97261598043</v>
      </c>
      <c r="V69" s="53">
        <f t="shared" si="38"/>
        <v>482952.47462211811</v>
      </c>
    </row>
    <row r="70" spans="1:23" x14ac:dyDescent="0.35">
      <c r="D70" s="1" t="s">
        <v>178</v>
      </c>
      <c r="F70" s="47" t="s">
        <v>155</v>
      </c>
      <c r="H70" s="79">
        <v>0</v>
      </c>
      <c r="I70" s="79">
        <v>0</v>
      </c>
      <c r="J70" s="79">
        <v>0</v>
      </c>
      <c r="K70" s="79">
        <v>0</v>
      </c>
      <c r="L70" s="79">
        <v>0</v>
      </c>
      <c r="M70" s="79">
        <v>0</v>
      </c>
      <c r="N70" s="79">
        <v>0</v>
      </c>
      <c r="O70" s="79">
        <v>0</v>
      </c>
      <c r="P70" s="79">
        <v>0</v>
      </c>
      <c r="Q70" s="79">
        <v>0</v>
      </c>
      <c r="R70" s="79">
        <v>0</v>
      </c>
      <c r="S70" s="79">
        <v>0</v>
      </c>
      <c r="T70" s="79">
        <v>0</v>
      </c>
      <c r="U70" s="79">
        <v>0</v>
      </c>
      <c r="V70" s="79">
        <v>0</v>
      </c>
    </row>
    <row r="71" spans="1:23" ht="16" thickBot="1" x14ac:dyDescent="0.4">
      <c r="C71" s="55"/>
      <c r="D71" s="54" t="s">
        <v>179</v>
      </c>
      <c r="E71" s="55"/>
      <c r="F71" s="67" t="s">
        <v>155</v>
      </c>
      <c r="G71" s="55"/>
      <c r="H71" s="76">
        <f t="shared" ref="H71:P71" si="39">SUM(H65,H69,H70)</f>
        <v>77492.600000000006</v>
      </c>
      <c r="I71" s="76">
        <f t="shared" si="39"/>
        <v>90512</v>
      </c>
      <c r="J71" s="76">
        <f t="shared" si="39"/>
        <v>124656</v>
      </c>
      <c r="K71" s="76">
        <f t="shared" si="39"/>
        <v>148110</v>
      </c>
      <c r="L71" s="76">
        <f t="shared" si="39"/>
        <v>255922</v>
      </c>
      <c r="M71" s="76">
        <f t="shared" si="39"/>
        <v>281816.97635970102</v>
      </c>
      <c r="N71" s="76">
        <f t="shared" si="39"/>
        <v>310404.08143143158</v>
      </c>
      <c r="O71" s="76">
        <f t="shared" si="39"/>
        <v>341964.0853529931</v>
      </c>
      <c r="P71" s="76">
        <f t="shared" si="39"/>
        <v>375777.21558672062</v>
      </c>
      <c r="Q71" s="76">
        <f t="shared" ref="Q71:V71" si="40">SUM(Q65,Q69,Q70)</f>
        <v>412417.60714138619</v>
      </c>
      <c r="R71" s="76">
        <f t="shared" si="40"/>
        <v>451641.31572415825</v>
      </c>
      <c r="S71" s="76">
        <f t="shared" si="40"/>
        <v>493667.05490268633</v>
      </c>
      <c r="T71" s="76">
        <f t="shared" si="40"/>
        <v>538082.09892610007</v>
      </c>
      <c r="U71" s="76">
        <f t="shared" si="40"/>
        <v>584755.36868875986</v>
      </c>
      <c r="V71" s="76">
        <f t="shared" si="40"/>
        <v>632800.08653780865</v>
      </c>
      <c r="W71" s="38"/>
    </row>
    <row r="72" spans="1:23" ht="16" thickTop="1" x14ac:dyDescent="0.35">
      <c r="H72" s="48"/>
      <c r="I72" s="48"/>
      <c r="J72" s="48"/>
      <c r="K72" s="48"/>
      <c r="L72" s="48"/>
      <c r="M72" s="48"/>
      <c r="N72" s="48"/>
      <c r="O72" s="48"/>
      <c r="P72" s="48"/>
      <c r="Q72" s="48"/>
      <c r="R72" s="48"/>
      <c r="S72" s="48"/>
      <c r="T72" s="48"/>
      <c r="U72" s="48"/>
      <c r="V72" s="48"/>
    </row>
    <row r="73" spans="1:23" ht="16" x14ac:dyDescent="0.4">
      <c r="D73" s="56" t="s">
        <v>180</v>
      </c>
      <c r="E73" s="56"/>
      <c r="F73" s="56"/>
      <c r="G73" s="56"/>
      <c r="H73" s="78">
        <f t="shared" ref="H73:V73" si="41">H71-H56</f>
        <v>9.9999999947613105E-3</v>
      </c>
      <c r="I73" s="78">
        <f t="shared" si="41"/>
        <v>0</v>
      </c>
      <c r="J73" s="78">
        <f t="shared" si="41"/>
        <v>0</v>
      </c>
      <c r="K73" s="78">
        <f t="shared" si="41"/>
        <v>0</v>
      </c>
      <c r="L73" s="78">
        <f t="shared" si="41"/>
        <v>0</v>
      </c>
      <c r="M73" s="78">
        <f t="shared" si="41"/>
        <v>0</v>
      </c>
      <c r="N73" s="78">
        <f t="shared" si="41"/>
        <v>0</v>
      </c>
      <c r="O73" s="78">
        <f t="shared" si="41"/>
        <v>0</v>
      </c>
      <c r="P73" s="78">
        <f t="shared" si="41"/>
        <v>0</v>
      </c>
      <c r="Q73" s="78">
        <f t="shared" si="41"/>
        <v>0</v>
      </c>
      <c r="R73" s="78">
        <f t="shared" si="41"/>
        <v>0</v>
      </c>
      <c r="S73" s="78">
        <f t="shared" si="41"/>
        <v>0</v>
      </c>
      <c r="T73" s="78">
        <f t="shared" si="41"/>
        <v>0</v>
      </c>
      <c r="U73" s="78">
        <f t="shared" si="41"/>
        <v>0</v>
      </c>
      <c r="V73" s="78">
        <f t="shared" si="41"/>
        <v>0</v>
      </c>
    </row>
    <row r="74" spans="1:23" x14ac:dyDescent="0.35">
      <c r="H74" s="48"/>
      <c r="I74" s="48"/>
      <c r="J74" s="48"/>
      <c r="K74" s="48"/>
      <c r="L74" s="48"/>
      <c r="M74" s="48"/>
      <c r="N74" s="48"/>
      <c r="O74" s="48"/>
      <c r="P74" s="48"/>
      <c r="Q74" s="48"/>
    </row>
    <row r="75" spans="1:23" s="48" customFormat="1" outlineLevel="1" x14ac:dyDescent="0.35">
      <c r="A75" s="23" t="s">
        <v>181</v>
      </c>
      <c r="B75" s="28"/>
      <c r="C75" s="28"/>
      <c r="D75" s="28"/>
      <c r="E75" s="28"/>
      <c r="F75" s="28"/>
      <c r="G75" s="28"/>
      <c r="H75" s="77"/>
      <c r="I75" s="77"/>
      <c r="J75" s="77"/>
      <c r="K75" s="77"/>
      <c r="L75" s="77"/>
      <c r="M75" s="77"/>
      <c r="N75" s="77"/>
      <c r="O75" s="77"/>
      <c r="P75" s="77"/>
      <c r="Q75" s="77"/>
      <c r="R75" s="77"/>
      <c r="S75" s="77"/>
      <c r="T75" s="77"/>
      <c r="U75" s="77"/>
      <c r="V75" s="77"/>
    </row>
    <row r="76" spans="1:23" x14ac:dyDescent="0.35">
      <c r="H76" s="48"/>
      <c r="I76" s="48"/>
      <c r="J76" s="48"/>
      <c r="K76" s="48"/>
      <c r="L76" s="48"/>
      <c r="M76" s="48"/>
      <c r="N76" s="48"/>
      <c r="O76" s="48"/>
      <c r="P76" s="48"/>
      <c r="Q76" s="48"/>
    </row>
    <row r="77" spans="1:23" x14ac:dyDescent="0.35">
      <c r="C77" s="4" t="s">
        <v>182</v>
      </c>
      <c r="H77" s="48"/>
      <c r="I77" s="48"/>
      <c r="J77" s="48"/>
      <c r="K77" s="48"/>
      <c r="L77" s="48"/>
      <c r="M77" s="48"/>
      <c r="N77" s="48"/>
      <c r="O77" s="48"/>
      <c r="P77" s="48"/>
      <c r="Q77" s="48"/>
    </row>
    <row r="78" spans="1:23" x14ac:dyDescent="0.35">
      <c r="D78" s="1" t="s">
        <v>153</v>
      </c>
      <c r="F78" s="47" t="s">
        <v>155</v>
      </c>
      <c r="H78" s="49">
        <f t="shared" ref="H78:V78" si="42">H38</f>
        <v>8658.2000000000007</v>
      </c>
      <c r="I78" s="49">
        <f t="shared" si="42"/>
        <v>3855</v>
      </c>
      <c r="J78" s="49">
        <f t="shared" si="42"/>
        <v>7974</v>
      </c>
      <c r="K78" s="49">
        <f t="shared" si="42"/>
        <v>12325</v>
      </c>
      <c r="L78" s="49">
        <f t="shared" si="42"/>
        <v>11870</v>
      </c>
      <c r="M78" s="48">
        <f t="shared" si="42"/>
        <v>30479.150232983415</v>
      </c>
      <c r="N78" s="48">
        <f t="shared" si="42"/>
        <v>34317.347271708946</v>
      </c>
      <c r="O78" s="48">
        <f t="shared" si="42"/>
        <v>37970.58373468482</v>
      </c>
      <c r="P78" s="48">
        <f t="shared" si="42"/>
        <v>40733.628492311997</v>
      </c>
      <c r="Q78" s="48">
        <f t="shared" si="42"/>
        <v>44208.008817426016</v>
      </c>
      <c r="R78" s="48">
        <f t="shared" si="42"/>
        <v>47396.462213293176</v>
      </c>
      <c r="S78" s="48">
        <f t="shared" si="42"/>
        <v>50825.042212100336</v>
      </c>
      <c r="T78" s="48">
        <f t="shared" si="42"/>
        <v>53755.282701211792</v>
      </c>
      <c r="U78" s="48">
        <f t="shared" si="42"/>
        <v>56530.626874274472</v>
      </c>
      <c r="V78" s="48">
        <f t="shared" si="42"/>
        <v>58229.610843430914</v>
      </c>
    </row>
    <row r="79" spans="1:23" x14ac:dyDescent="0.35">
      <c r="D79" s="1" t="s">
        <v>183</v>
      </c>
      <c r="F79" s="47" t="s">
        <v>155</v>
      </c>
      <c r="H79" s="49">
        <f>-H32</f>
        <v>946.99</v>
      </c>
      <c r="I79" s="49">
        <f>-I32</f>
        <v>965</v>
      </c>
      <c r="J79" s="49">
        <f>-J32</f>
        <v>1339</v>
      </c>
      <c r="K79" s="49">
        <f>-K32</f>
        <v>1636</v>
      </c>
      <c r="L79" s="49">
        <f>-L32</f>
        <v>2369</v>
      </c>
      <c r="M79" s="48">
        <f t="shared" ref="M79:V79" si="43">-M117</f>
        <v>2945.8267052341125</v>
      </c>
      <c r="N79" s="48">
        <f t="shared" si="43"/>
        <v>3210.2212970684113</v>
      </c>
      <c r="O79" s="48">
        <f t="shared" si="43"/>
        <v>3441.2261772074266</v>
      </c>
      <c r="P79" s="48">
        <f t="shared" si="43"/>
        <v>4506.5533389750944</v>
      </c>
      <c r="Q79" s="48">
        <f t="shared" si="43"/>
        <v>4577.7508922609686</v>
      </c>
      <c r="R79" s="48">
        <f t="shared" si="43"/>
        <v>4640.9357382977205</v>
      </c>
      <c r="S79" s="48">
        <f t="shared" si="43"/>
        <v>4344.213740473042</v>
      </c>
      <c r="T79" s="48">
        <f t="shared" si="43"/>
        <v>4447.6707171212265</v>
      </c>
      <c r="U79" s="48">
        <f t="shared" si="43"/>
        <v>4538.6462893589733</v>
      </c>
      <c r="V79" s="48">
        <f t="shared" si="43"/>
        <v>5575.7020536376049</v>
      </c>
    </row>
    <row r="80" spans="1:23" x14ac:dyDescent="0.35">
      <c r="D80" s="1" t="s">
        <v>184</v>
      </c>
      <c r="F80" s="47" t="s">
        <v>155</v>
      </c>
      <c r="H80" s="49">
        <f>SUM(Historical!H$23,Historical!H$80:H$82,Historical!H$83:H$85,Historical!H$94)</f>
        <v>2514.1700000000005</v>
      </c>
      <c r="I80" s="49">
        <f>SUM(Historical!I$23,Historical!I$80:I$82,Historical!I$83:I$85,Historical!I$94)</f>
        <v>2100</v>
      </c>
      <c r="J80" s="49">
        <f>SUM(Historical!J$23,Historical!J$80:J$82,Historical!J$83:J$85,Historical!J$94)</f>
        <v>3461</v>
      </c>
      <c r="K80" s="49">
        <f>SUM(Historical!K$23,Historical!K$80:K$82,Historical!K$83:K$85,Historical!K$94)</f>
        <v>3236</v>
      </c>
      <c r="L80" s="49">
        <f>SUM(Historical!L$23,Historical!L$80:L$82,Historical!L$83:L$85,Historical!L$94)</f>
        <v>2912</v>
      </c>
      <c r="M80" s="48">
        <f t="shared" ref="M80:V80" si="44">-M34-M35</f>
        <v>5283.7014997113902</v>
      </c>
      <c r="N80" s="48">
        <f t="shared" si="44"/>
        <v>5192.1484070118877</v>
      </c>
      <c r="O80" s="48">
        <f t="shared" si="44"/>
        <v>5105.4345492122156</v>
      </c>
      <c r="P80" s="48">
        <f t="shared" si="44"/>
        <v>5021.4184558774232</v>
      </c>
      <c r="Q80" s="48">
        <f t="shared" si="44"/>
        <v>4942.023247676043</v>
      </c>
      <c r="R80" s="48">
        <f t="shared" si="44"/>
        <v>4869.2064995827786</v>
      </c>
      <c r="S80" s="48">
        <f t="shared" si="44"/>
        <v>4798.4528926854891</v>
      </c>
      <c r="T80" s="48">
        <f t="shared" si="44"/>
        <v>4730.593751524907</v>
      </c>
      <c r="U80" s="48">
        <f t="shared" si="44"/>
        <v>4666.4668631281565</v>
      </c>
      <c r="V80" s="48">
        <f t="shared" si="44"/>
        <v>4606.9001090173988</v>
      </c>
    </row>
    <row r="81" spans="3:24" x14ac:dyDescent="0.35">
      <c r="D81" s="44" t="s">
        <v>185</v>
      </c>
      <c r="E81" s="44"/>
      <c r="F81" s="68" t="s">
        <v>155</v>
      </c>
      <c r="G81" s="44"/>
      <c r="H81" s="74">
        <f>SUM(Historical!H88:H92)</f>
        <v>-6604.1399999999985</v>
      </c>
      <c r="I81" s="74">
        <f>SUM(Historical!I88:I92)</f>
        <v>-14826</v>
      </c>
      <c r="J81" s="74">
        <f>SUM(Historical!J88:J92)</f>
        <v>-11729</v>
      </c>
      <c r="K81" s="74">
        <f>SUM(Historical!K88:K92)</f>
        <v>15841</v>
      </c>
      <c r="L81" s="74">
        <f>SUM(Historical!L88:L92)</f>
        <v>-59550</v>
      </c>
      <c r="M81" s="48">
        <f t="shared" ref="M81:V81" si="45">M112</f>
        <v>-66133.291194596663</v>
      </c>
      <c r="N81" s="48">
        <f t="shared" si="45"/>
        <v>-27462.045575432705</v>
      </c>
      <c r="O81" s="48">
        <f t="shared" si="45"/>
        <v>-26010.48030930262</v>
      </c>
      <c r="P81" s="48">
        <f t="shared" si="45"/>
        <v>-25201.265366346597</v>
      </c>
      <c r="Q81" s="48">
        <f t="shared" si="45"/>
        <v>-23815.195771197494</v>
      </c>
      <c r="R81" s="48">
        <f t="shared" si="45"/>
        <v>-21841.936693012583</v>
      </c>
      <c r="S81" s="48">
        <f t="shared" si="45"/>
        <v>-21223.081820043833</v>
      </c>
      <c r="T81" s="48">
        <f t="shared" si="45"/>
        <v>-20354.864836496708</v>
      </c>
      <c r="U81" s="48">
        <f t="shared" si="45"/>
        <v>-19235.347270489274</v>
      </c>
      <c r="V81" s="48">
        <f t="shared" si="45"/>
        <v>-17867.500353476687</v>
      </c>
    </row>
    <row r="82" spans="3:24" x14ac:dyDescent="0.35">
      <c r="D82" s="4" t="s">
        <v>186</v>
      </c>
      <c r="F82" s="47" t="s">
        <v>155</v>
      </c>
      <c r="H82" s="75">
        <f t="shared" ref="H82:P82" si="46">SUM(H78:H81)</f>
        <v>5515.2200000000021</v>
      </c>
      <c r="I82" s="75">
        <f t="shared" si="46"/>
        <v>-7906</v>
      </c>
      <c r="J82" s="75">
        <f t="shared" si="46"/>
        <v>1045</v>
      </c>
      <c r="K82" s="75">
        <f t="shared" si="46"/>
        <v>33038</v>
      </c>
      <c r="L82" s="75">
        <f t="shared" si="46"/>
        <v>-42399</v>
      </c>
      <c r="M82" s="81">
        <f t="shared" si="46"/>
        <v>-27424.612756667746</v>
      </c>
      <c r="N82" s="81">
        <f t="shared" si="46"/>
        <v>15257.671400356543</v>
      </c>
      <c r="O82" s="81">
        <f t="shared" si="46"/>
        <v>20506.764151801843</v>
      </c>
      <c r="P82" s="81">
        <f t="shared" si="46"/>
        <v>25060.334920817913</v>
      </c>
      <c r="Q82" s="81">
        <f t="shared" ref="Q82:V82" si="47">SUM(Q78:Q81)</f>
        <v>29912.587186165536</v>
      </c>
      <c r="R82" s="81">
        <f t="shared" si="47"/>
        <v>35064.667758161086</v>
      </c>
      <c r="S82" s="81">
        <f t="shared" si="47"/>
        <v>38744.627025215043</v>
      </c>
      <c r="T82" s="81">
        <f t="shared" si="47"/>
        <v>42578.682333361219</v>
      </c>
      <c r="U82" s="81">
        <f t="shared" si="47"/>
        <v>46500.392756272326</v>
      </c>
      <c r="V82" s="81">
        <f t="shared" si="47"/>
        <v>50544.712652609232</v>
      </c>
      <c r="W82" s="38"/>
      <c r="X82" s="38"/>
    </row>
    <row r="83" spans="3:24" x14ac:dyDescent="0.35">
      <c r="F83" s="47"/>
      <c r="H83" s="48"/>
      <c r="I83" s="48"/>
      <c r="J83" s="48"/>
      <c r="K83" s="48"/>
      <c r="L83" s="48"/>
      <c r="M83" s="48"/>
      <c r="N83" s="48"/>
      <c r="O83" s="48"/>
      <c r="P83" s="48"/>
      <c r="Q83" s="48"/>
      <c r="R83" s="48"/>
      <c r="S83" s="48"/>
      <c r="T83" s="48"/>
      <c r="U83" s="48"/>
      <c r="V83" s="48"/>
    </row>
    <row r="84" spans="3:24" x14ac:dyDescent="0.35">
      <c r="C84" s="4" t="s">
        <v>187</v>
      </c>
      <c r="H84" s="48"/>
      <c r="I84" s="48"/>
      <c r="J84" s="48"/>
      <c r="K84" s="48"/>
      <c r="L84" s="48"/>
      <c r="M84" s="48"/>
      <c r="N84" s="48"/>
      <c r="O84" s="48"/>
      <c r="P84" s="48"/>
      <c r="Q84" s="48"/>
      <c r="R84" s="48"/>
      <c r="S84" s="48"/>
      <c r="T84" s="48"/>
      <c r="U84" s="48"/>
      <c r="V84" s="48"/>
    </row>
    <row r="85" spans="3:24" x14ac:dyDescent="0.35">
      <c r="D85" s="1" t="s">
        <v>188</v>
      </c>
      <c r="F85" s="47" t="s">
        <v>155</v>
      </c>
      <c r="H85" s="49">
        <f>Historical!H$97</f>
        <v>-586.52</v>
      </c>
      <c r="I85" s="49">
        <f>Historical!I$97</f>
        <v>-1603</v>
      </c>
      <c r="J85" s="49">
        <f>Historical!J$97</f>
        <v>-3180</v>
      </c>
      <c r="K85" s="49">
        <f>Historical!K$97</f>
        <v>-3733</v>
      </c>
      <c r="L85" s="49">
        <f>Historical!L$97</f>
        <v>-5832</v>
      </c>
      <c r="M85" s="48">
        <f t="shared" ref="M85:V85" si="48">-M116</f>
        <v>-4847.4974999999995</v>
      </c>
      <c r="N85" s="48">
        <f t="shared" si="48"/>
        <v>-4871.7349874999991</v>
      </c>
      <c r="O85" s="48">
        <f t="shared" si="48"/>
        <v>-4896.093662437499</v>
      </c>
      <c r="P85" s="48">
        <f t="shared" si="48"/>
        <v>-4920.5741307496855</v>
      </c>
      <c r="Q85" s="48">
        <f t="shared" si="48"/>
        <v>-4945.1770014034337</v>
      </c>
      <c r="R85" s="48">
        <f t="shared" si="48"/>
        <v>-4969.9028864104503</v>
      </c>
      <c r="S85" s="48">
        <f t="shared" si="48"/>
        <v>-4994.7524008425016</v>
      </c>
      <c r="T85" s="48">
        <f t="shared" si="48"/>
        <v>-5019.726162846714</v>
      </c>
      <c r="U85" s="48">
        <f t="shared" si="48"/>
        <v>-5044.8247936609469</v>
      </c>
      <c r="V85" s="48">
        <f t="shared" si="48"/>
        <v>-5070.0489176292513</v>
      </c>
    </row>
    <row r="86" spans="3:24" x14ac:dyDescent="0.35">
      <c r="D86" s="1" t="s">
        <v>189</v>
      </c>
      <c r="F86" s="47" t="s">
        <v>155</v>
      </c>
      <c r="H86" s="49">
        <f>Historical!H98</f>
        <v>3.22</v>
      </c>
      <c r="I86" s="49">
        <f>Historical!I98</f>
        <v>5</v>
      </c>
      <c r="J86" s="49">
        <f>Historical!J98</f>
        <v>37</v>
      </c>
      <c r="K86" s="49">
        <f>Historical!K98</f>
        <v>22</v>
      </c>
      <c r="L86" s="49">
        <f>Historical!L98</f>
        <v>29</v>
      </c>
      <c r="M86" s="48">
        <v>0</v>
      </c>
      <c r="N86" s="48">
        <v>0</v>
      </c>
      <c r="O86" s="48">
        <v>0</v>
      </c>
      <c r="P86" s="48">
        <v>0</v>
      </c>
      <c r="Q86" s="48">
        <v>0</v>
      </c>
      <c r="R86" s="48">
        <v>0</v>
      </c>
      <c r="S86" s="48">
        <v>0</v>
      </c>
      <c r="T86" s="48">
        <v>0</v>
      </c>
      <c r="U86" s="48">
        <v>0</v>
      </c>
      <c r="V86" s="48">
        <v>0</v>
      </c>
    </row>
    <row r="87" spans="3:24" x14ac:dyDescent="0.35">
      <c r="D87" s="1" t="s">
        <v>190</v>
      </c>
      <c r="F87" s="47" t="s">
        <v>155</v>
      </c>
      <c r="H87" s="49">
        <f>Historical!H$99</f>
        <v>2277.39</v>
      </c>
      <c r="I87" s="49">
        <f>Historical!I$99</f>
        <v>-631</v>
      </c>
      <c r="J87" s="49">
        <f>Historical!J$99</f>
        <v>-5779</v>
      </c>
      <c r="K87" s="49">
        <f>Historical!K$99</f>
        <v>251</v>
      </c>
      <c r="L87" s="49">
        <f>Historical!L$99</f>
        <v>-8501</v>
      </c>
      <c r="M87" s="48">
        <v>0</v>
      </c>
      <c r="N87" s="48">
        <v>0</v>
      </c>
      <c r="O87" s="48">
        <v>0</v>
      </c>
      <c r="P87" s="48">
        <v>0</v>
      </c>
      <c r="Q87" s="48">
        <v>0</v>
      </c>
      <c r="R87" s="48">
        <v>0</v>
      </c>
      <c r="S87" s="48">
        <v>0</v>
      </c>
      <c r="T87" s="48">
        <v>0</v>
      </c>
      <c r="U87" s="48">
        <v>0</v>
      </c>
      <c r="V87" s="48">
        <v>0</v>
      </c>
    </row>
    <row r="88" spans="3:24" x14ac:dyDescent="0.35">
      <c r="D88" s="1" t="s">
        <v>191</v>
      </c>
      <c r="F88" s="47" t="s">
        <v>155</v>
      </c>
      <c r="H88" s="79">
        <v>0</v>
      </c>
      <c r="I88" s="79">
        <v>0</v>
      </c>
      <c r="J88" s="79">
        <v>0</v>
      </c>
      <c r="K88" s="79">
        <v>0</v>
      </c>
      <c r="L88" s="79">
        <v>0</v>
      </c>
      <c r="M88" s="48">
        <v>0</v>
      </c>
      <c r="N88" s="48">
        <v>0</v>
      </c>
      <c r="O88" s="48">
        <v>0</v>
      </c>
      <c r="P88" s="48">
        <v>0</v>
      </c>
      <c r="Q88" s="48">
        <v>0</v>
      </c>
      <c r="R88" s="48">
        <v>0</v>
      </c>
      <c r="S88" s="48">
        <v>0</v>
      </c>
      <c r="T88" s="48">
        <v>0</v>
      </c>
      <c r="U88" s="48">
        <v>0</v>
      </c>
      <c r="V88" s="48">
        <v>0</v>
      </c>
    </row>
    <row r="89" spans="3:24" x14ac:dyDescent="0.35">
      <c r="D89" s="1" t="s">
        <v>84</v>
      </c>
      <c r="F89" s="47" t="s">
        <v>155</v>
      </c>
      <c r="H89" s="49">
        <f>Historical!H$100</f>
        <v>68.97</v>
      </c>
      <c r="I89" s="49">
        <f>Historical!I$100</f>
        <v>117</v>
      </c>
      <c r="J89" s="49">
        <f>Historical!J$100</f>
        <v>280</v>
      </c>
      <c r="K89" s="49">
        <f>Historical!K$100</f>
        <v>494</v>
      </c>
      <c r="L89" s="49">
        <f>Historical!L$100</f>
        <v>511</v>
      </c>
      <c r="M89" s="48">
        <f t="shared" ref="M89:V89" si="49">M35</f>
        <v>871.9342161857378</v>
      </c>
      <c r="N89" s="48">
        <f t="shared" si="49"/>
        <v>963.48730888524028</v>
      </c>
      <c r="O89" s="48">
        <f t="shared" si="49"/>
        <v>1050.2011666849119</v>
      </c>
      <c r="P89" s="48">
        <f t="shared" si="49"/>
        <v>1134.217260019705</v>
      </c>
      <c r="Q89" s="48">
        <f t="shared" si="49"/>
        <v>1213.6124682210843</v>
      </c>
      <c r="R89" s="48">
        <f t="shared" si="49"/>
        <v>1286.4292163143496</v>
      </c>
      <c r="S89" s="48">
        <f t="shared" si="49"/>
        <v>1357.1828232116386</v>
      </c>
      <c r="T89" s="48">
        <f t="shared" si="49"/>
        <v>1425.0419643722207</v>
      </c>
      <c r="U89" s="48">
        <f t="shared" si="49"/>
        <v>1489.1688527689707</v>
      </c>
      <c r="V89" s="48">
        <f t="shared" si="49"/>
        <v>1548.7356068797294</v>
      </c>
    </row>
    <row r="90" spans="3:24" x14ac:dyDescent="0.35">
      <c r="D90" s="1" t="s">
        <v>192</v>
      </c>
      <c r="F90" s="68" t="s">
        <v>155</v>
      </c>
      <c r="H90" s="79" t="s">
        <v>22</v>
      </c>
      <c r="I90" s="79" t="s">
        <v>22</v>
      </c>
      <c r="J90" s="79" t="s">
        <v>22</v>
      </c>
      <c r="K90" s="79" t="s">
        <v>22</v>
      </c>
      <c r="L90" s="79" t="s">
        <v>22</v>
      </c>
      <c r="M90" s="48">
        <v>0</v>
      </c>
      <c r="N90" s="48">
        <v>0</v>
      </c>
      <c r="O90" s="48">
        <v>0</v>
      </c>
      <c r="P90" s="48">
        <v>0</v>
      </c>
      <c r="Q90" s="48">
        <v>0</v>
      </c>
      <c r="R90" s="48">
        <v>0</v>
      </c>
      <c r="S90" s="48">
        <v>0</v>
      </c>
      <c r="T90" s="48">
        <v>0</v>
      </c>
      <c r="U90" s="48">
        <v>0</v>
      </c>
      <c r="V90" s="48">
        <v>0</v>
      </c>
      <c r="W90" s="38"/>
      <c r="X90" s="38"/>
    </row>
    <row r="91" spans="3:24" x14ac:dyDescent="0.35">
      <c r="C91" s="50"/>
      <c r="D91" s="51" t="s">
        <v>193</v>
      </c>
      <c r="E91" s="50"/>
      <c r="F91" s="47" t="s">
        <v>155</v>
      </c>
      <c r="G91" s="50"/>
      <c r="H91" s="53">
        <f t="shared" ref="H91:P91" si="50">SUM(H85:H90)</f>
        <v>1763.06</v>
      </c>
      <c r="I91" s="53">
        <f t="shared" si="50"/>
        <v>-2112</v>
      </c>
      <c r="J91" s="53">
        <f t="shared" si="50"/>
        <v>-8642</v>
      </c>
      <c r="K91" s="53">
        <f t="shared" si="50"/>
        <v>-2966</v>
      </c>
      <c r="L91" s="53">
        <f t="shared" si="50"/>
        <v>-13793</v>
      </c>
      <c r="M91" s="53">
        <f t="shared" si="50"/>
        <v>-3975.5632838142619</v>
      </c>
      <c r="N91" s="53">
        <f t="shared" si="50"/>
        <v>-3908.247678614759</v>
      </c>
      <c r="O91" s="53">
        <f t="shared" si="50"/>
        <v>-3845.8924957525869</v>
      </c>
      <c r="P91" s="53">
        <f t="shared" si="50"/>
        <v>-3786.3568707299805</v>
      </c>
      <c r="Q91" s="53">
        <f t="shared" ref="Q91:V91" si="51">SUM(Q85:Q90)</f>
        <v>-3731.5645331823494</v>
      </c>
      <c r="R91" s="53">
        <f t="shared" si="51"/>
        <v>-3683.4736700961007</v>
      </c>
      <c r="S91" s="53">
        <f t="shared" si="51"/>
        <v>-3637.569577630863</v>
      </c>
      <c r="T91" s="53">
        <f t="shared" si="51"/>
        <v>-3594.6841984744933</v>
      </c>
      <c r="U91" s="53">
        <f t="shared" si="51"/>
        <v>-3555.6559408919761</v>
      </c>
      <c r="V91" s="53">
        <f t="shared" si="51"/>
        <v>-3521.3133107495219</v>
      </c>
    </row>
    <row r="92" spans="3:24" x14ac:dyDescent="0.35">
      <c r="F92" s="48"/>
      <c r="H92" s="48"/>
      <c r="I92" s="48"/>
      <c r="J92" s="48"/>
      <c r="K92" s="48"/>
      <c r="L92" s="48"/>
      <c r="M92" s="48"/>
      <c r="N92" s="48"/>
      <c r="O92" s="48"/>
      <c r="P92" s="48"/>
      <c r="Q92" s="48"/>
      <c r="R92" s="48"/>
      <c r="S92" s="48"/>
      <c r="T92" s="48"/>
      <c r="U92" s="48"/>
      <c r="V92" s="48"/>
    </row>
    <row r="93" spans="3:24" x14ac:dyDescent="0.35">
      <c r="C93" s="4" t="s">
        <v>194</v>
      </c>
      <c r="F93" s="48"/>
      <c r="H93" s="48"/>
      <c r="I93" s="48"/>
      <c r="J93" s="48"/>
      <c r="K93" s="48"/>
      <c r="L93" s="48"/>
      <c r="M93" s="48"/>
      <c r="N93" s="48"/>
      <c r="O93" s="48"/>
      <c r="P93" s="48"/>
      <c r="Q93" s="48"/>
      <c r="R93" s="48"/>
      <c r="S93" s="48"/>
      <c r="T93" s="48"/>
      <c r="U93" s="48"/>
      <c r="V93" s="48"/>
    </row>
    <row r="94" spans="3:24" x14ac:dyDescent="0.35">
      <c r="D94" s="1" t="s">
        <v>195</v>
      </c>
      <c r="F94" s="47" t="s">
        <v>155</v>
      </c>
      <c r="H94" s="49">
        <f>SUM(Historical!H105:H107)</f>
        <v>-3459.7799999999997</v>
      </c>
      <c r="I94" s="49">
        <f>SUM(Historical!I105:I107)</f>
        <v>13071</v>
      </c>
      <c r="J94" s="49">
        <f>SUM(Historical!J105:J107)</f>
        <v>12580</v>
      </c>
      <c r="K94" s="49">
        <f>SUM(Historical!K105:K107)</f>
        <v>-23930</v>
      </c>
      <c r="L94" s="49">
        <f>SUM(Historical!L105:L107)</f>
        <v>18439</v>
      </c>
      <c r="M94" s="48">
        <v>0</v>
      </c>
      <c r="N94" s="48">
        <v>0</v>
      </c>
      <c r="O94" s="48">
        <v>0</v>
      </c>
      <c r="P94" s="48">
        <v>0</v>
      </c>
      <c r="Q94" s="48">
        <v>0</v>
      </c>
      <c r="R94" s="48">
        <v>0</v>
      </c>
      <c r="S94" s="48">
        <v>0</v>
      </c>
      <c r="T94" s="48">
        <v>0</v>
      </c>
      <c r="U94" s="48">
        <v>0</v>
      </c>
      <c r="V94" s="48">
        <v>0</v>
      </c>
    </row>
    <row r="95" spans="3:24" x14ac:dyDescent="0.35">
      <c r="D95" s="1" t="s">
        <v>196</v>
      </c>
      <c r="F95" s="47" t="s">
        <v>155</v>
      </c>
      <c r="H95" s="79" t="str">
        <f>Historical!H103</f>
        <v>-</v>
      </c>
      <c r="I95" s="79" t="str">
        <f>Historical!I103</f>
        <v>-</v>
      </c>
      <c r="J95" s="79" t="str">
        <f>Historical!J103</f>
        <v>-</v>
      </c>
      <c r="K95" s="79" t="str">
        <f>Historical!K103</f>
        <v>-</v>
      </c>
      <c r="L95" s="79">
        <f>SUM(Historical!L103,Historical!L104)</f>
        <v>50776</v>
      </c>
      <c r="M95" s="48">
        <v>0</v>
      </c>
      <c r="N95" s="48">
        <v>0</v>
      </c>
      <c r="O95" s="48">
        <v>0</v>
      </c>
      <c r="P95" s="48">
        <v>0</v>
      </c>
      <c r="Q95" s="48">
        <v>0</v>
      </c>
      <c r="R95" s="48">
        <v>0</v>
      </c>
      <c r="S95" s="48">
        <v>0</v>
      </c>
      <c r="T95" s="48">
        <v>0</v>
      </c>
      <c r="U95" s="48">
        <v>0</v>
      </c>
      <c r="V95" s="48">
        <v>0</v>
      </c>
    </row>
    <row r="96" spans="3:24" x14ac:dyDescent="0.35">
      <c r="D96" s="1" t="s">
        <v>197</v>
      </c>
      <c r="F96" s="47" t="s">
        <v>155</v>
      </c>
      <c r="H96" s="49">
        <f>Historical!H$109</f>
        <v>-823.17</v>
      </c>
      <c r="I96" s="49">
        <f>Historical!I$109</f>
        <v>-1235</v>
      </c>
      <c r="J96" s="49">
        <f>Historical!J$109</f>
        <v>-1509</v>
      </c>
      <c r="K96" s="49">
        <f>Historical!K$109</f>
        <v>-1921</v>
      </c>
      <c r="L96" s="49">
        <f>Historical!L$109</f>
        <v>-1646</v>
      </c>
      <c r="M96" s="48">
        <f t="shared" ref="M96:V96" si="52">-M38*M16</f>
        <v>-5481.4204299979665</v>
      </c>
      <c r="N96" s="48">
        <f t="shared" si="52"/>
        <v>-6171.6880884335496</v>
      </c>
      <c r="O96" s="48">
        <f t="shared" si="52"/>
        <v>-6828.6921331886824</v>
      </c>
      <c r="P96" s="48">
        <f t="shared" si="52"/>
        <v>-7325.6026398033509</v>
      </c>
      <c r="Q96" s="48">
        <f t="shared" si="52"/>
        <v>-7950.4409030123325</v>
      </c>
      <c r="R96" s="48">
        <f t="shared" si="52"/>
        <v>-8523.857597723505</v>
      </c>
      <c r="S96" s="48">
        <f t="shared" si="52"/>
        <v>-9140.4590550373105</v>
      </c>
      <c r="T96" s="48">
        <f t="shared" si="52"/>
        <v>-9667.4383165667605</v>
      </c>
      <c r="U96" s="48">
        <f t="shared" si="52"/>
        <v>-10166.560770251142</v>
      </c>
      <c r="V96" s="48">
        <f t="shared" si="52"/>
        <v>-10472.108837293219</v>
      </c>
    </row>
    <row r="97" spans="1:23" x14ac:dyDescent="0.35">
      <c r="D97" s="1" t="s">
        <v>98</v>
      </c>
      <c r="E97" s="69"/>
      <c r="F97" s="68" t="s">
        <v>155</v>
      </c>
      <c r="H97" s="49">
        <f>Historical!H$108</f>
        <v>-2164.4299999999998</v>
      </c>
      <c r="I97" s="49">
        <f>Historical!I$108</f>
        <v>-2481</v>
      </c>
      <c r="J97" s="49">
        <f>Historical!J$108</f>
        <v>-3272</v>
      </c>
      <c r="K97" s="49">
        <f>Historical!K$108</f>
        <v>-3431</v>
      </c>
      <c r="L97" s="49">
        <f>Historical!L$108</f>
        <v>-3878</v>
      </c>
      <c r="M97" s="48">
        <f t="shared" ref="M97:V97" si="53">M124</f>
        <v>-6155.6357158971277</v>
      </c>
      <c r="N97" s="48">
        <f t="shared" si="53"/>
        <v>-6155.6357158971277</v>
      </c>
      <c r="O97" s="48">
        <f t="shared" si="53"/>
        <v>-6155.6357158971277</v>
      </c>
      <c r="P97" s="48">
        <f t="shared" si="53"/>
        <v>-6155.6357158971277</v>
      </c>
      <c r="Q97" s="48">
        <f t="shared" si="53"/>
        <v>-6155.6357158971277</v>
      </c>
      <c r="R97" s="48">
        <f t="shared" si="53"/>
        <v>-6155.6357158971277</v>
      </c>
      <c r="S97" s="48">
        <f t="shared" si="53"/>
        <v>-6155.6357158971277</v>
      </c>
      <c r="T97" s="48">
        <f t="shared" si="53"/>
        <v>-6155.6357158971277</v>
      </c>
      <c r="U97" s="48">
        <f t="shared" si="53"/>
        <v>-6155.6357158971277</v>
      </c>
      <c r="V97" s="48">
        <f t="shared" si="53"/>
        <v>-6155.6357158971277</v>
      </c>
    </row>
    <row r="98" spans="1:23" x14ac:dyDescent="0.35">
      <c r="D98" s="51" t="s">
        <v>198</v>
      </c>
      <c r="F98" s="47" t="s">
        <v>155</v>
      </c>
      <c r="G98" s="50"/>
      <c r="H98" s="53">
        <f t="shared" ref="H98:P98" si="54">SUM(H94:H97)</f>
        <v>-6447.3799999999992</v>
      </c>
      <c r="I98" s="53">
        <f t="shared" si="54"/>
        <v>9355</v>
      </c>
      <c r="J98" s="53">
        <f t="shared" si="54"/>
        <v>7799</v>
      </c>
      <c r="K98" s="53">
        <f t="shared" si="54"/>
        <v>-29282</v>
      </c>
      <c r="L98" s="53">
        <f t="shared" si="54"/>
        <v>63691</v>
      </c>
      <c r="M98" s="53">
        <f t="shared" si="54"/>
        <v>-11637.056145895094</v>
      </c>
      <c r="N98" s="53">
        <f t="shared" si="54"/>
        <v>-12327.323804330677</v>
      </c>
      <c r="O98" s="53">
        <f t="shared" si="54"/>
        <v>-12984.32784908581</v>
      </c>
      <c r="P98" s="53">
        <f t="shared" si="54"/>
        <v>-13481.23835570048</v>
      </c>
      <c r="Q98" s="53">
        <f t="shared" ref="Q98:V98" si="55">SUM(Q94:Q97)</f>
        <v>-14106.076618909461</v>
      </c>
      <c r="R98" s="53">
        <f t="shared" si="55"/>
        <v>-14679.493313620633</v>
      </c>
      <c r="S98" s="53">
        <f t="shared" si="55"/>
        <v>-15296.094770934438</v>
      </c>
      <c r="T98" s="53">
        <f t="shared" si="55"/>
        <v>-15823.074032463888</v>
      </c>
      <c r="U98" s="53">
        <f t="shared" si="55"/>
        <v>-16322.19648614827</v>
      </c>
      <c r="V98" s="53">
        <f t="shared" si="55"/>
        <v>-16627.744553190347</v>
      </c>
      <c r="W98" s="38"/>
    </row>
    <row r="99" spans="1:23" x14ac:dyDescent="0.35">
      <c r="F99" s="47"/>
      <c r="H99" s="49"/>
      <c r="I99" s="49"/>
      <c r="J99" s="49"/>
      <c r="K99" s="49"/>
      <c r="L99" s="49"/>
      <c r="M99" s="48"/>
      <c r="N99" s="48"/>
      <c r="O99" s="48"/>
      <c r="P99" s="48"/>
      <c r="Q99" s="48"/>
      <c r="R99" s="48"/>
      <c r="S99" s="48"/>
      <c r="T99" s="48"/>
      <c r="U99" s="48"/>
      <c r="V99" s="48"/>
    </row>
    <row r="100" spans="1:23" x14ac:dyDescent="0.35">
      <c r="D100" s="1" t="s">
        <v>199</v>
      </c>
      <c r="F100" s="47" t="s">
        <v>155</v>
      </c>
      <c r="H100" s="49">
        <f>SUM(H$82,H$91,H$98)</f>
        <v>830.90000000000327</v>
      </c>
      <c r="I100" s="49">
        <f>SUM(I$82,I$91,I$98)</f>
        <v>-663</v>
      </c>
      <c r="J100" s="49">
        <f>SUM(J$82,J$91,J$98)</f>
        <v>202</v>
      </c>
      <c r="K100" s="49">
        <f>SUM(K$82,K$91,K$98)</f>
        <v>790</v>
      </c>
      <c r="L100" s="49">
        <f>SUM(L$82,L$91,L$98)</f>
        <v>7499</v>
      </c>
      <c r="M100" s="48">
        <f t="shared" ref="M100:V100" si="56">M98+M91+M82</f>
        <v>-43037.232186377107</v>
      </c>
      <c r="N100" s="48">
        <f t="shared" si="56"/>
        <v>-977.90008258889429</v>
      </c>
      <c r="O100" s="48">
        <f t="shared" si="56"/>
        <v>3676.5438069634474</v>
      </c>
      <c r="P100" s="48">
        <f t="shared" si="56"/>
        <v>7792.7396943874519</v>
      </c>
      <c r="Q100" s="48">
        <f t="shared" si="56"/>
        <v>12074.946034073724</v>
      </c>
      <c r="R100" s="48">
        <f t="shared" si="56"/>
        <v>16701.700774444351</v>
      </c>
      <c r="S100" s="48">
        <f t="shared" si="56"/>
        <v>19810.962676649742</v>
      </c>
      <c r="T100" s="48">
        <f t="shared" si="56"/>
        <v>23160.924102422839</v>
      </c>
      <c r="U100" s="48">
        <f t="shared" si="56"/>
        <v>26622.540329232081</v>
      </c>
      <c r="V100" s="48">
        <f t="shared" si="56"/>
        <v>30395.654788669362</v>
      </c>
    </row>
    <row r="101" spans="1:23" x14ac:dyDescent="0.35">
      <c r="D101" s="1" t="s">
        <v>200</v>
      </c>
      <c r="F101" s="68" t="s">
        <v>155</v>
      </c>
      <c r="H101" s="49">
        <f>Historical!H$112</f>
        <v>198.81</v>
      </c>
      <c r="I101" s="49">
        <f>Historical!I$112</f>
        <v>1030</v>
      </c>
      <c r="J101" s="49">
        <f>Historical!J$112</f>
        <v>365</v>
      </c>
      <c r="K101" s="49">
        <f>Historical!K$112</f>
        <v>566</v>
      </c>
      <c r="L101" s="49">
        <f>Historical!L$112</f>
        <v>1357</v>
      </c>
      <c r="M101" s="48">
        <f t="shared" ref="M101:V101" si="57">L102</f>
        <v>8856</v>
      </c>
      <c r="N101" s="48">
        <f t="shared" si="57"/>
        <v>-34181.232186377107</v>
      </c>
      <c r="O101" s="48">
        <f t="shared" si="57"/>
        <v>-35159.132268966001</v>
      </c>
      <c r="P101" s="48">
        <f t="shared" si="57"/>
        <v>-31482.588462002554</v>
      </c>
      <c r="Q101" s="48">
        <f t="shared" si="57"/>
        <v>-23689.848767615102</v>
      </c>
      <c r="R101" s="48">
        <f t="shared" si="57"/>
        <v>-11614.902733541378</v>
      </c>
      <c r="S101" s="48">
        <f t="shared" si="57"/>
        <v>5086.7980409029733</v>
      </c>
      <c r="T101" s="48">
        <f t="shared" si="57"/>
        <v>24897.760717552716</v>
      </c>
      <c r="U101" s="48">
        <f t="shared" si="57"/>
        <v>48058.684819975555</v>
      </c>
      <c r="V101" s="48">
        <f t="shared" si="57"/>
        <v>74681.225149207632</v>
      </c>
      <c r="W101" s="38"/>
    </row>
    <row r="102" spans="1:23" x14ac:dyDescent="0.35">
      <c r="D102" s="51" t="s">
        <v>201</v>
      </c>
      <c r="E102" s="51"/>
      <c r="F102" s="47" t="s">
        <v>155</v>
      </c>
      <c r="G102" s="51"/>
      <c r="H102" s="53">
        <f t="shared" ref="H102:V102" si="58">SUM(H100:H101)</f>
        <v>1029.7100000000032</v>
      </c>
      <c r="I102" s="53">
        <f t="shared" si="58"/>
        <v>367</v>
      </c>
      <c r="J102" s="53">
        <f t="shared" si="58"/>
        <v>567</v>
      </c>
      <c r="K102" s="53">
        <f t="shared" si="58"/>
        <v>1356</v>
      </c>
      <c r="L102" s="53">
        <f t="shared" si="58"/>
        <v>8856</v>
      </c>
      <c r="M102" s="53">
        <f t="shared" si="58"/>
        <v>-34181.232186377107</v>
      </c>
      <c r="N102" s="53">
        <f t="shared" si="58"/>
        <v>-35159.132268966001</v>
      </c>
      <c r="O102" s="53">
        <f t="shared" si="58"/>
        <v>-31482.588462002554</v>
      </c>
      <c r="P102" s="53">
        <f t="shared" si="58"/>
        <v>-23689.848767615102</v>
      </c>
      <c r="Q102" s="53">
        <f t="shared" si="58"/>
        <v>-11614.902733541378</v>
      </c>
      <c r="R102" s="53">
        <f t="shared" si="58"/>
        <v>5086.7980409029733</v>
      </c>
      <c r="S102" s="53">
        <f t="shared" si="58"/>
        <v>24897.760717552716</v>
      </c>
      <c r="T102" s="53">
        <f t="shared" si="58"/>
        <v>48058.684819975555</v>
      </c>
      <c r="U102" s="53">
        <f t="shared" si="58"/>
        <v>74681.225149207632</v>
      </c>
      <c r="V102" s="53">
        <f t="shared" si="58"/>
        <v>105076.87993787699</v>
      </c>
      <c r="W102" s="38"/>
    </row>
    <row r="103" spans="1:23" x14ac:dyDescent="0.35">
      <c r="H103" s="48"/>
      <c r="I103" s="48"/>
      <c r="J103" s="48"/>
      <c r="K103" s="48"/>
      <c r="L103" s="48"/>
      <c r="M103" s="48"/>
      <c r="N103" s="48"/>
      <c r="O103" s="48"/>
      <c r="P103" s="48"/>
      <c r="Q103" s="48"/>
    </row>
    <row r="104" spans="1:23" x14ac:dyDescent="0.35">
      <c r="H104" s="48"/>
      <c r="I104" s="48"/>
      <c r="J104" s="48"/>
      <c r="K104" s="48"/>
      <c r="L104" s="48"/>
      <c r="M104" s="48"/>
      <c r="N104" s="48"/>
      <c r="O104" s="48"/>
      <c r="P104" s="48"/>
      <c r="Q104" s="48"/>
    </row>
    <row r="105" spans="1:23" s="48" customFormat="1" outlineLevel="1" x14ac:dyDescent="0.35">
      <c r="A105" s="23" t="s">
        <v>202</v>
      </c>
      <c r="B105" s="28"/>
      <c r="C105" s="28"/>
      <c r="D105" s="28"/>
      <c r="E105" s="28"/>
      <c r="F105" s="28"/>
      <c r="G105" s="28"/>
      <c r="H105" s="77"/>
      <c r="I105" s="77"/>
      <c r="J105" s="77"/>
      <c r="K105" s="77"/>
      <c r="L105" s="77"/>
      <c r="M105" s="77"/>
      <c r="N105" s="77"/>
      <c r="O105" s="77"/>
      <c r="P105" s="77"/>
      <c r="Q105" s="77"/>
      <c r="R105" s="77"/>
      <c r="S105" s="77"/>
      <c r="T105" s="77"/>
      <c r="U105" s="77"/>
      <c r="V105" s="77"/>
    </row>
    <row r="106" spans="1:23" x14ac:dyDescent="0.35">
      <c r="H106" s="48"/>
      <c r="I106" s="48"/>
      <c r="J106" s="48"/>
      <c r="K106" s="48"/>
      <c r="L106" s="48"/>
      <c r="M106" s="48"/>
      <c r="N106" s="48"/>
      <c r="O106" s="48"/>
      <c r="P106" s="48"/>
      <c r="Q106" s="48"/>
    </row>
    <row r="107" spans="1:23" x14ac:dyDescent="0.35">
      <c r="C107" s="4" t="s">
        <v>203</v>
      </c>
      <c r="H107" s="48"/>
      <c r="I107" s="48"/>
      <c r="J107" s="48"/>
      <c r="K107" s="48"/>
      <c r="L107" s="48"/>
      <c r="M107" s="48"/>
      <c r="N107" s="48"/>
      <c r="O107" s="48"/>
      <c r="P107" s="48"/>
      <c r="Q107" s="48"/>
    </row>
    <row r="108" spans="1:23" x14ac:dyDescent="0.35">
      <c r="D108" s="1" t="s">
        <v>132</v>
      </c>
      <c r="F108" s="47" t="s">
        <v>155</v>
      </c>
      <c r="H108" s="49">
        <f>Historical!H$89</f>
        <v>-244.81</v>
      </c>
      <c r="I108" s="49">
        <f>Historical!I$89</f>
        <v>-3</v>
      </c>
      <c r="J108" s="49">
        <f>Historical!J$89</f>
        <v>-55</v>
      </c>
      <c r="K108" s="49">
        <f>Historical!K$89</f>
        <v>-109</v>
      </c>
      <c r="L108" s="49">
        <f>Historical!L$89</f>
        <v>-435</v>
      </c>
      <c r="M108" s="48">
        <f t="shared" ref="M108:V108" si="59">L$47-M$47</f>
        <v>-135.77686902666915</v>
      </c>
      <c r="N108" s="48">
        <f t="shared" si="59"/>
        <v>-104.55657124780009</v>
      </c>
      <c r="O108" s="48">
        <f t="shared" si="59"/>
        <v>-99.030009624702416</v>
      </c>
      <c r="P108" s="48">
        <f t="shared" si="59"/>
        <v>-95.949075991933796</v>
      </c>
      <c r="Q108" s="48">
        <f t="shared" si="59"/>
        <v>-90.67187681237715</v>
      </c>
      <c r="R108" s="48">
        <f t="shared" si="59"/>
        <v>-83.159064162209461</v>
      </c>
      <c r="S108" s="48">
        <f t="shared" si="59"/>
        <v>-80.802890677612822</v>
      </c>
      <c r="T108" s="48">
        <f t="shared" si="59"/>
        <v>-77.497317877165415</v>
      </c>
      <c r="U108" s="48">
        <f t="shared" si="59"/>
        <v>-73.234965393921129</v>
      </c>
      <c r="V108" s="48">
        <f t="shared" si="59"/>
        <v>-68.027145632575639</v>
      </c>
    </row>
    <row r="109" spans="1:23" x14ac:dyDescent="0.35">
      <c r="D109" s="1" t="s">
        <v>134</v>
      </c>
      <c r="F109" s="47" t="s">
        <v>155</v>
      </c>
      <c r="H109" s="49">
        <f>Historical!H$88</f>
        <v>-8529.8799999999992</v>
      </c>
      <c r="I109" s="49">
        <f>Historical!I$88</f>
        <v>-10079</v>
      </c>
      <c r="J109" s="49">
        <f>Historical!J$88</f>
        <v>-23231</v>
      </c>
      <c r="K109" s="49">
        <f>Historical!K$88</f>
        <v>-20689</v>
      </c>
      <c r="L109" s="49">
        <f>Historical!L$88</f>
        <v>-78934</v>
      </c>
      <c r="M109" s="48">
        <f t="shared" ref="M109:V109" si="60">L$48-M$48</f>
        <v>-66894.760882285598</v>
      </c>
      <c r="N109" s="48">
        <f t="shared" si="60"/>
        <v>-27798.934892640042</v>
      </c>
      <c r="O109" s="48">
        <f t="shared" si="60"/>
        <v>-26329.562619743287</v>
      </c>
      <c r="P109" s="48">
        <f t="shared" si="60"/>
        <v>-25510.420671573549</v>
      </c>
      <c r="Q109" s="48">
        <f t="shared" si="60"/>
        <v>-24107.347534636967</v>
      </c>
      <c r="R109" s="48">
        <f t="shared" si="60"/>
        <v>-22109.881596052786</v>
      </c>
      <c r="S109" s="48">
        <f t="shared" si="60"/>
        <v>-21483.43495083123</v>
      </c>
      <c r="T109" s="48">
        <f t="shared" si="60"/>
        <v>-20604.567157388257</v>
      </c>
      <c r="U109" s="48">
        <f t="shared" si="60"/>
        <v>-19471.315963731788</v>
      </c>
      <c r="V109" s="48">
        <f t="shared" si="60"/>
        <v>-18086.689050755289</v>
      </c>
    </row>
    <row r="110" spans="1:23" x14ac:dyDescent="0.35">
      <c r="D110" s="1" t="s">
        <v>135</v>
      </c>
      <c r="F110" s="47" t="s">
        <v>155</v>
      </c>
      <c r="H110" s="49">
        <f>Historical!H$92</f>
        <v>-5544.98</v>
      </c>
      <c r="I110" s="49">
        <f>Historical!I$92</f>
        <v>931</v>
      </c>
      <c r="J110" s="49">
        <f>Historical!J$92</f>
        <v>11466</v>
      </c>
      <c r="K110" s="49">
        <f>Historical!K$92</f>
        <v>18389</v>
      </c>
      <c r="L110" s="49">
        <f>Historical!L$92</f>
        <v>22158</v>
      </c>
      <c r="M110" s="48">
        <f t="shared" ref="M110:V110" si="61">M$60-L$60</f>
        <v>897.24655671559685</v>
      </c>
      <c r="N110" s="48">
        <f t="shared" si="61"/>
        <v>441.44588845513681</v>
      </c>
      <c r="O110" s="48">
        <f t="shared" si="61"/>
        <v>418.11232006536648</v>
      </c>
      <c r="P110" s="48">
        <f t="shared" si="61"/>
        <v>405.10438121888819</v>
      </c>
      <c r="Q110" s="48">
        <f t="shared" si="61"/>
        <v>382.82364025184961</v>
      </c>
      <c r="R110" s="48">
        <f t="shared" si="61"/>
        <v>351.10396720241079</v>
      </c>
      <c r="S110" s="48">
        <f t="shared" si="61"/>
        <v>341.15602146500805</v>
      </c>
      <c r="T110" s="48">
        <f t="shared" si="61"/>
        <v>327.19963876871407</v>
      </c>
      <c r="U110" s="48">
        <f t="shared" si="61"/>
        <v>309.20365863643383</v>
      </c>
      <c r="V110" s="48">
        <f t="shared" si="61"/>
        <v>287.21584291117506</v>
      </c>
    </row>
    <row r="111" spans="1:23" x14ac:dyDescent="0.35">
      <c r="D111" s="1" t="s">
        <v>204</v>
      </c>
      <c r="F111" s="68" t="s">
        <v>155</v>
      </c>
      <c r="H111" s="49">
        <f>SUM(Historical!H$90:H$91)</f>
        <v>7715.53</v>
      </c>
      <c r="I111" s="49">
        <f>SUM(Historical!I$90:I$91)</f>
        <v>-5675</v>
      </c>
      <c r="J111" s="49">
        <f>SUM(Historical!J$90:J$91)</f>
        <v>91</v>
      </c>
      <c r="K111" s="49">
        <f>SUM(Historical!K$90:K$91)</f>
        <v>18250</v>
      </c>
      <c r="L111" s="49">
        <f>SUM(Historical!L$90:L$91)</f>
        <v>-2339</v>
      </c>
      <c r="M111" s="48">
        <f t="shared" ref="M111:V111" si="62">(M61-L61)+(M49-L49)</f>
        <v>0</v>
      </c>
      <c r="N111" s="48">
        <f t="shared" si="62"/>
        <v>0</v>
      </c>
      <c r="O111" s="48">
        <f t="shared" si="62"/>
        <v>0</v>
      </c>
      <c r="P111" s="48">
        <f t="shared" si="62"/>
        <v>0</v>
      </c>
      <c r="Q111" s="48">
        <f t="shared" si="62"/>
        <v>0</v>
      </c>
      <c r="R111" s="48">
        <f t="shared" si="62"/>
        <v>0</v>
      </c>
      <c r="S111" s="48">
        <f t="shared" si="62"/>
        <v>0</v>
      </c>
      <c r="T111" s="48">
        <f t="shared" si="62"/>
        <v>0</v>
      </c>
      <c r="U111" s="48">
        <f t="shared" si="62"/>
        <v>0</v>
      </c>
      <c r="V111" s="48">
        <f t="shared" si="62"/>
        <v>0</v>
      </c>
    </row>
    <row r="112" spans="1:23" x14ac:dyDescent="0.35">
      <c r="D112" s="51" t="s">
        <v>205</v>
      </c>
      <c r="E112" s="51"/>
      <c r="F112" s="47" t="s">
        <v>155</v>
      </c>
      <c r="G112" s="51"/>
      <c r="H112" s="53">
        <f t="shared" ref="H112:V112" si="63">SUM(H108:H111)</f>
        <v>-6604.1399999999985</v>
      </c>
      <c r="I112" s="53">
        <f t="shared" si="63"/>
        <v>-14826</v>
      </c>
      <c r="J112" s="53">
        <f t="shared" si="63"/>
        <v>-11729</v>
      </c>
      <c r="K112" s="53">
        <f t="shared" si="63"/>
        <v>15841</v>
      </c>
      <c r="L112" s="53">
        <f t="shared" si="63"/>
        <v>-59550</v>
      </c>
      <c r="M112" s="53">
        <f t="shared" si="63"/>
        <v>-66133.291194596663</v>
      </c>
      <c r="N112" s="53">
        <f t="shared" si="63"/>
        <v>-27462.045575432705</v>
      </c>
      <c r="O112" s="53">
        <f t="shared" si="63"/>
        <v>-26010.48030930262</v>
      </c>
      <c r="P112" s="53">
        <f t="shared" si="63"/>
        <v>-25201.265366346597</v>
      </c>
      <c r="Q112" s="53">
        <f t="shared" si="63"/>
        <v>-23815.195771197494</v>
      </c>
      <c r="R112" s="53">
        <f t="shared" si="63"/>
        <v>-21841.936693012583</v>
      </c>
      <c r="S112" s="53">
        <f t="shared" si="63"/>
        <v>-21223.081820043833</v>
      </c>
      <c r="T112" s="53">
        <f t="shared" si="63"/>
        <v>-20354.864836496708</v>
      </c>
      <c r="U112" s="53">
        <f t="shared" si="63"/>
        <v>-19235.347270489274</v>
      </c>
      <c r="V112" s="53">
        <f t="shared" si="63"/>
        <v>-17867.500353476687</v>
      </c>
    </row>
    <row r="113" spans="1:24" x14ac:dyDescent="0.35">
      <c r="F113" s="47"/>
      <c r="H113" s="48"/>
      <c r="I113" s="48"/>
      <c r="J113" s="48"/>
      <c r="K113" s="48"/>
      <c r="L113" s="48"/>
      <c r="M113" s="48"/>
      <c r="N113" s="48"/>
      <c r="O113" s="48"/>
      <c r="P113" s="48"/>
      <c r="Q113" s="48"/>
      <c r="R113" s="48"/>
      <c r="S113" s="48"/>
      <c r="T113" s="48"/>
      <c r="U113" s="48"/>
      <c r="V113" s="48"/>
      <c r="X113" s="48"/>
    </row>
    <row r="114" spans="1:24" x14ac:dyDescent="0.35">
      <c r="C114" s="4" t="s">
        <v>206</v>
      </c>
      <c r="F114" s="47"/>
      <c r="H114" s="48"/>
      <c r="I114" s="48"/>
      <c r="J114" s="48"/>
      <c r="K114" s="48"/>
      <c r="L114" s="48"/>
      <c r="M114" s="48"/>
      <c r="N114" s="48"/>
      <c r="O114" s="48"/>
      <c r="P114" s="48"/>
      <c r="Q114" s="48"/>
      <c r="R114" s="48"/>
      <c r="S114" s="48"/>
      <c r="T114" s="48"/>
      <c r="U114" s="48"/>
      <c r="V114" s="48"/>
    </row>
    <row r="115" spans="1:24" x14ac:dyDescent="0.35">
      <c r="D115" s="1" t="s">
        <v>207</v>
      </c>
      <c r="F115" s="47" t="s">
        <v>155</v>
      </c>
      <c r="H115" s="48"/>
      <c r="I115" s="49">
        <f t="shared" ref="I115:V115" si="64">H118</f>
        <v>8107.01</v>
      </c>
      <c r="J115" s="49">
        <f t="shared" si="64"/>
        <v>9128</v>
      </c>
      <c r="K115" s="49">
        <f t="shared" si="64"/>
        <v>12173</v>
      </c>
      <c r="L115" s="49">
        <f t="shared" si="64"/>
        <v>15589</v>
      </c>
      <c r="M115" s="49">
        <f t="shared" si="64"/>
        <v>21188</v>
      </c>
      <c r="N115" s="48">
        <f t="shared" si="64"/>
        <v>23089.670794765887</v>
      </c>
      <c r="O115" s="48">
        <f t="shared" si="64"/>
        <v>24751.184485197475</v>
      </c>
      <c r="P115" s="48">
        <f t="shared" si="64"/>
        <v>26206.051970427547</v>
      </c>
      <c r="Q115" s="48">
        <f t="shared" si="64"/>
        <v>26620.072762202137</v>
      </c>
      <c r="R115" s="48">
        <f t="shared" si="64"/>
        <v>26987.4988713446</v>
      </c>
      <c r="S115" s="48">
        <f t="shared" si="64"/>
        <v>27316.46601945733</v>
      </c>
      <c r="T115" s="48">
        <f t="shared" si="64"/>
        <v>27967.00467982679</v>
      </c>
      <c r="U115" s="48">
        <f t="shared" si="64"/>
        <v>28539.060125552278</v>
      </c>
      <c r="V115" s="48">
        <f t="shared" si="64"/>
        <v>29045.238629854251</v>
      </c>
    </row>
    <row r="116" spans="1:24" x14ac:dyDescent="0.35">
      <c r="D116" s="1" t="s">
        <v>208</v>
      </c>
      <c r="F116" s="47" t="s">
        <v>155</v>
      </c>
      <c r="H116" s="48"/>
      <c r="I116" s="48">
        <f>I118-I115-I117</f>
        <v>1985.9899999999998</v>
      </c>
      <c r="J116" s="48">
        <f>J118-J115-J117</f>
        <v>4384</v>
      </c>
      <c r="K116" s="48">
        <f>K118-K115-K117</f>
        <v>5052</v>
      </c>
      <c r="L116" s="48">
        <f>L118-L115-L117</f>
        <v>7968</v>
      </c>
      <c r="M116" s="48">
        <f>AVERAGE(H116:L116)</f>
        <v>4847.4974999999995</v>
      </c>
      <c r="N116" s="48">
        <f>M$116*(1+0.5%)</f>
        <v>4871.7349874999991</v>
      </c>
      <c r="O116" s="48">
        <f t="shared" ref="O116:V116" si="65">N$116*(1+0.5%)</f>
        <v>4896.093662437499</v>
      </c>
      <c r="P116" s="48">
        <f t="shared" si="65"/>
        <v>4920.5741307496855</v>
      </c>
      <c r="Q116" s="48">
        <f t="shared" si="65"/>
        <v>4945.1770014034337</v>
      </c>
      <c r="R116" s="48">
        <f t="shared" si="65"/>
        <v>4969.9028864104503</v>
      </c>
      <c r="S116" s="48">
        <f t="shared" si="65"/>
        <v>4994.7524008425016</v>
      </c>
      <c r="T116" s="48">
        <f t="shared" si="65"/>
        <v>5019.726162846714</v>
      </c>
      <c r="U116" s="48">
        <f t="shared" si="65"/>
        <v>5044.8247936609469</v>
      </c>
      <c r="V116" s="48">
        <f t="shared" si="65"/>
        <v>5070.0489176292513</v>
      </c>
    </row>
    <row r="117" spans="1:24" x14ac:dyDescent="0.35">
      <c r="D117" s="1" t="s">
        <v>209</v>
      </c>
      <c r="F117" s="68" t="s">
        <v>155</v>
      </c>
      <c r="H117" s="49">
        <f>-H$79</f>
        <v>-946.99</v>
      </c>
      <c r="I117" s="49">
        <f>-I$79</f>
        <v>-965</v>
      </c>
      <c r="J117" s="49">
        <f>-J$79</f>
        <v>-1339</v>
      </c>
      <c r="K117" s="49">
        <f>-K$79</f>
        <v>-1636</v>
      </c>
      <c r="L117" s="49">
        <f>-L$79</f>
        <v>-2369</v>
      </c>
      <c r="M117" s="48">
        <f>-M$115*M$12</f>
        <v>-2945.8267052341125</v>
      </c>
      <c r="N117" s="48">
        <f t="shared" ref="N117:V117" si="66">-N$115*N$12</f>
        <v>-3210.2212970684113</v>
      </c>
      <c r="O117" s="48">
        <f t="shared" si="66"/>
        <v>-3441.2261772074266</v>
      </c>
      <c r="P117" s="48">
        <f t="shared" si="66"/>
        <v>-4506.5533389750944</v>
      </c>
      <c r="Q117" s="48">
        <f t="shared" si="66"/>
        <v>-4577.7508922609686</v>
      </c>
      <c r="R117" s="48">
        <f t="shared" si="66"/>
        <v>-4640.9357382977205</v>
      </c>
      <c r="S117" s="48">
        <f t="shared" si="66"/>
        <v>-4344.213740473042</v>
      </c>
      <c r="T117" s="48">
        <f t="shared" si="66"/>
        <v>-4447.6707171212265</v>
      </c>
      <c r="U117" s="48">
        <f>-U$115*U$12</f>
        <v>-4538.6462893589733</v>
      </c>
      <c r="V117" s="48">
        <f t="shared" si="66"/>
        <v>-5575.7020536376049</v>
      </c>
    </row>
    <row r="118" spans="1:24" x14ac:dyDescent="0.35">
      <c r="D118" s="51" t="s">
        <v>210</v>
      </c>
      <c r="E118" s="51"/>
      <c r="F118" s="47" t="s">
        <v>155</v>
      </c>
      <c r="G118" s="51"/>
      <c r="H118" s="81">
        <f>H$52</f>
        <v>8107.01</v>
      </c>
      <c r="I118" s="81">
        <f>I$52</f>
        <v>9128</v>
      </c>
      <c r="J118" s="81">
        <f>J$52</f>
        <v>12173</v>
      </c>
      <c r="K118" s="81">
        <f>K$52</f>
        <v>15589</v>
      </c>
      <c r="L118" s="81">
        <f>L$52</f>
        <v>21188</v>
      </c>
      <c r="M118" s="53">
        <f>SUM(M$115:M$117)</f>
        <v>23089.670794765887</v>
      </c>
      <c r="N118" s="53">
        <f t="shared" ref="N118:V118" si="67">SUM(N$115:N$117)</f>
        <v>24751.184485197475</v>
      </c>
      <c r="O118" s="53">
        <f t="shared" si="67"/>
        <v>26206.051970427547</v>
      </c>
      <c r="P118" s="53">
        <f t="shared" si="67"/>
        <v>26620.072762202137</v>
      </c>
      <c r="Q118" s="53">
        <f t="shared" si="67"/>
        <v>26987.4988713446</v>
      </c>
      <c r="R118" s="53">
        <f t="shared" si="67"/>
        <v>27316.46601945733</v>
      </c>
      <c r="S118" s="53">
        <f t="shared" si="67"/>
        <v>27967.00467982679</v>
      </c>
      <c r="T118" s="53">
        <f t="shared" si="67"/>
        <v>28539.060125552278</v>
      </c>
      <c r="U118" s="53">
        <f t="shared" si="67"/>
        <v>29045.238629854251</v>
      </c>
      <c r="V118" s="53">
        <f t="shared" si="67"/>
        <v>28539.585493845898</v>
      </c>
    </row>
    <row r="119" spans="1:24" x14ac:dyDescent="0.35">
      <c r="C119" s="48"/>
      <c r="D119" s="48"/>
      <c r="E119" s="48"/>
      <c r="F119" s="47"/>
      <c r="G119" s="48"/>
      <c r="H119" s="48"/>
      <c r="I119" s="48"/>
      <c r="J119" s="48"/>
      <c r="K119" s="48"/>
      <c r="L119" s="48"/>
      <c r="M119" s="48"/>
      <c r="N119" s="48"/>
      <c r="O119" s="48"/>
      <c r="P119" s="48"/>
      <c r="Q119" s="48"/>
      <c r="R119" s="48"/>
      <c r="S119" s="48"/>
      <c r="T119" s="48"/>
      <c r="U119" s="48"/>
      <c r="V119" s="48"/>
    </row>
    <row r="120" spans="1:24" x14ac:dyDescent="0.35">
      <c r="C120" s="4" t="s">
        <v>211</v>
      </c>
      <c r="F120" s="47"/>
      <c r="H120" s="48"/>
      <c r="I120" s="48"/>
      <c r="J120" s="48"/>
      <c r="K120" s="48"/>
      <c r="L120" s="48"/>
      <c r="M120" s="48"/>
      <c r="N120" s="48"/>
      <c r="O120" s="48"/>
      <c r="P120" s="48"/>
      <c r="Q120" s="48"/>
      <c r="R120" s="48"/>
      <c r="S120" s="48"/>
      <c r="T120" s="48"/>
      <c r="U120" s="48"/>
      <c r="V120" s="48"/>
    </row>
    <row r="121" spans="1:24" x14ac:dyDescent="0.35">
      <c r="D121" s="1" t="s">
        <v>212</v>
      </c>
      <c r="F121" s="47" t="s">
        <v>155</v>
      </c>
      <c r="H121" s="48"/>
      <c r="I121" s="48">
        <f>H123</f>
        <v>28030.82</v>
      </c>
      <c r="J121" s="48">
        <f>I123</f>
        <v>41982</v>
      </c>
      <c r="K121" s="48">
        <f>J123</f>
        <v>57097</v>
      </c>
      <c r="L121" s="48">
        <f>K123</f>
        <v>53192</v>
      </c>
      <c r="M121" s="48">
        <f>L$123</f>
        <v>79725</v>
      </c>
      <c r="N121" s="48">
        <f t="shared" ref="N121:V121" si="68">M123</f>
        <v>79725</v>
      </c>
      <c r="O121" s="48">
        <f t="shared" si="68"/>
        <v>79725</v>
      </c>
      <c r="P121" s="48">
        <f t="shared" si="68"/>
        <v>79725</v>
      </c>
      <c r="Q121" s="48">
        <f t="shared" si="68"/>
        <v>79725</v>
      </c>
      <c r="R121" s="48">
        <f t="shared" si="68"/>
        <v>79725</v>
      </c>
      <c r="S121" s="48">
        <f t="shared" si="68"/>
        <v>79725</v>
      </c>
      <c r="T121" s="48">
        <f t="shared" si="68"/>
        <v>79725</v>
      </c>
      <c r="U121" s="48">
        <f t="shared" si="68"/>
        <v>79725</v>
      </c>
      <c r="V121" s="48">
        <f t="shared" si="68"/>
        <v>79725</v>
      </c>
    </row>
    <row r="122" spans="1:24" x14ac:dyDescent="0.35">
      <c r="D122" s="1" t="s">
        <v>213</v>
      </c>
      <c r="F122" s="68" t="s">
        <v>155</v>
      </c>
      <c r="H122" s="48"/>
      <c r="I122" s="48">
        <f>I$123-I$121</f>
        <v>13951.18</v>
      </c>
      <c r="J122" s="48">
        <f>J$123-J$121</f>
        <v>15115</v>
      </c>
      <c r="K122" s="48">
        <f>K$123-K$121</f>
        <v>-3905</v>
      </c>
      <c r="L122" s="48">
        <f>L$123-L$121</f>
        <v>26533</v>
      </c>
      <c r="M122" s="72" t="s">
        <v>22</v>
      </c>
      <c r="N122" s="72" t="s">
        <v>22</v>
      </c>
      <c r="O122" s="72" t="s">
        <v>22</v>
      </c>
      <c r="P122" s="72" t="s">
        <v>22</v>
      </c>
      <c r="Q122" s="72" t="s">
        <v>22</v>
      </c>
      <c r="R122" s="72" t="s">
        <v>22</v>
      </c>
      <c r="S122" s="72" t="s">
        <v>22</v>
      </c>
      <c r="T122" s="72" t="s">
        <v>22</v>
      </c>
      <c r="U122" s="72" t="s">
        <v>22</v>
      </c>
      <c r="V122" s="72" t="s">
        <v>22</v>
      </c>
    </row>
    <row r="123" spans="1:24" x14ac:dyDescent="0.35">
      <c r="D123" s="51" t="s">
        <v>214</v>
      </c>
      <c r="E123" s="51"/>
      <c r="F123" s="47" t="s">
        <v>155</v>
      </c>
      <c r="G123" s="51"/>
      <c r="H123" s="53">
        <f>H$63</f>
        <v>28030.82</v>
      </c>
      <c r="I123" s="53">
        <f>I$63</f>
        <v>41982</v>
      </c>
      <c r="J123" s="53">
        <f>J$63</f>
        <v>57097</v>
      </c>
      <c r="K123" s="53">
        <f>K$63</f>
        <v>53192</v>
      </c>
      <c r="L123" s="53">
        <f>L$63</f>
        <v>79725</v>
      </c>
      <c r="M123" s="53">
        <f t="shared" ref="M123:V123" si="69">SUM(M121:M122)</f>
        <v>79725</v>
      </c>
      <c r="N123" s="53">
        <f t="shared" si="69"/>
        <v>79725</v>
      </c>
      <c r="O123" s="53">
        <f t="shared" si="69"/>
        <v>79725</v>
      </c>
      <c r="P123" s="53">
        <f t="shared" si="69"/>
        <v>79725</v>
      </c>
      <c r="Q123" s="53">
        <f t="shared" si="69"/>
        <v>79725</v>
      </c>
      <c r="R123" s="53">
        <f t="shared" si="69"/>
        <v>79725</v>
      </c>
      <c r="S123" s="53">
        <f t="shared" si="69"/>
        <v>79725</v>
      </c>
      <c r="T123" s="53">
        <f t="shared" si="69"/>
        <v>79725</v>
      </c>
      <c r="U123" s="53">
        <f t="shared" si="69"/>
        <v>79725</v>
      </c>
      <c r="V123" s="53">
        <f t="shared" si="69"/>
        <v>79725</v>
      </c>
    </row>
    <row r="124" spans="1:24" x14ac:dyDescent="0.35">
      <c r="D124" s="1" t="s">
        <v>215</v>
      </c>
      <c r="F124" s="47" t="s">
        <v>155</v>
      </c>
      <c r="H124" s="48">
        <f>H$34</f>
        <v>-2290.5700000000002</v>
      </c>
      <c r="I124" s="48">
        <f>I$34</f>
        <v>-2618</v>
      </c>
      <c r="J124" s="48">
        <f>J$34</f>
        <v>-3492</v>
      </c>
      <c r="K124" s="48">
        <f>K$34</f>
        <v>-3633</v>
      </c>
      <c r="L124" s="48">
        <f>L$34</f>
        <v>-4107</v>
      </c>
      <c r="M124" s="48">
        <f t="shared" ref="M124:V124" si="70">-M123*M13</f>
        <v>-6155.6357158971277</v>
      </c>
      <c r="N124" s="48">
        <f t="shared" si="70"/>
        <v>-6155.6357158971277</v>
      </c>
      <c r="O124" s="48">
        <f t="shared" si="70"/>
        <v>-6155.6357158971277</v>
      </c>
      <c r="P124" s="48">
        <f t="shared" si="70"/>
        <v>-6155.6357158971277</v>
      </c>
      <c r="Q124" s="48">
        <f t="shared" si="70"/>
        <v>-6155.6357158971277</v>
      </c>
      <c r="R124" s="48">
        <f t="shared" si="70"/>
        <v>-6155.6357158971277</v>
      </c>
      <c r="S124" s="48">
        <f t="shared" si="70"/>
        <v>-6155.6357158971277</v>
      </c>
      <c r="T124" s="48">
        <f t="shared" si="70"/>
        <v>-6155.6357158971277</v>
      </c>
      <c r="U124" s="48">
        <f t="shared" si="70"/>
        <v>-6155.6357158971277</v>
      </c>
      <c r="V124" s="48">
        <f t="shared" si="70"/>
        <v>-6155.6357158971277</v>
      </c>
    </row>
    <row r="125" spans="1:24" x14ac:dyDescent="0.35">
      <c r="H125" s="70"/>
      <c r="I125" s="70"/>
      <c r="J125" s="70"/>
      <c r="K125" s="70"/>
      <c r="L125" s="70"/>
      <c r="M125" s="70"/>
      <c r="N125" s="70"/>
      <c r="O125" s="70"/>
      <c r="P125" s="70"/>
      <c r="Q125" s="70"/>
    </row>
    <row r="128" spans="1:24" s="48" customFormat="1" outlineLevel="1" x14ac:dyDescent="0.35">
      <c r="A128" s="23" t="s">
        <v>216</v>
      </c>
      <c r="B128" s="28"/>
      <c r="C128" s="28"/>
      <c r="D128" s="28"/>
      <c r="E128" s="28"/>
      <c r="F128" s="28"/>
      <c r="G128" s="28"/>
      <c r="H128" s="28"/>
      <c r="I128" s="28"/>
      <c r="J128" s="28"/>
      <c r="K128" s="28"/>
      <c r="L128" s="28"/>
      <c r="M128" s="28"/>
      <c r="N128" s="28"/>
      <c r="O128" s="28"/>
      <c r="P128" s="28"/>
      <c r="Q128" s="28"/>
      <c r="R128" s="28"/>
      <c r="S128" s="28"/>
      <c r="T128" s="28"/>
      <c r="U128" s="28"/>
      <c r="V128" s="28"/>
    </row>
    <row r="130" spans="4:24" x14ac:dyDescent="0.35">
      <c r="D130" s="57" t="s">
        <v>217</v>
      </c>
      <c r="E130" s="44"/>
    </row>
    <row r="131" spans="4:24" x14ac:dyDescent="0.35">
      <c r="D131" s="1" t="s">
        <v>218</v>
      </c>
      <c r="E131" s="58">
        <v>46099</v>
      </c>
    </row>
    <row r="132" spans="4:24" x14ac:dyDescent="0.35">
      <c r="D132" s="1" t="s">
        <v>219</v>
      </c>
      <c r="E132" s="58">
        <v>46112</v>
      </c>
    </row>
    <row r="133" spans="4:24" x14ac:dyDescent="0.35">
      <c r="D133" s="1" t="s">
        <v>220</v>
      </c>
      <c r="E133" s="59">
        <f>WACC!H33</f>
        <v>0.25169999999999998</v>
      </c>
    </row>
    <row r="134" spans="4:24" x14ac:dyDescent="0.35">
      <c r="D134" s="1" t="s">
        <v>221</v>
      </c>
      <c r="E134" s="206">
        <f>Comps!T14</f>
        <v>16.025860743063554</v>
      </c>
    </row>
    <row r="135" spans="4:24" x14ac:dyDescent="0.35">
      <c r="D135" s="1" t="s">
        <v>222</v>
      </c>
      <c r="E135" s="206">
        <v>0.04</v>
      </c>
      <c r="U135" s="5"/>
      <c r="W135" s="62"/>
    </row>
    <row r="136" spans="4:24" x14ac:dyDescent="0.35">
      <c r="D136" s="1" t="s">
        <v>223</v>
      </c>
      <c r="E136" s="215">
        <f>WACC!H43</f>
        <v>9.4072112715565898E-2</v>
      </c>
      <c r="U136" s="5"/>
    </row>
    <row r="137" spans="4:24" x14ac:dyDescent="0.35">
      <c r="D137" s="1" t="s">
        <v>224</v>
      </c>
      <c r="E137" s="60">
        <f>31082021/10^5</f>
        <v>310.82020999999997</v>
      </c>
    </row>
    <row r="138" spans="4:24" x14ac:dyDescent="0.35">
      <c r="D138" s="1" t="s">
        <v>225</v>
      </c>
      <c r="E138" s="49">
        <f>Comps!H16</f>
        <v>3496.9</v>
      </c>
    </row>
    <row r="141" spans="4:24" ht="16" thickBot="1" x14ac:dyDescent="0.4">
      <c r="D141" s="29" t="s">
        <v>226</v>
      </c>
      <c r="E141" s="33"/>
      <c r="F141" s="33"/>
      <c r="G141" s="33"/>
      <c r="H141" s="193">
        <f>H2</f>
        <v>2021</v>
      </c>
      <c r="I141" s="193">
        <f>I2</f>
        <v>2022</v>
      </c>
      <c r="J141" s="193">
        <f>J2</f>
        <v>2023</v>
      </c>
      <c r="K141" s="193">
        <f>K2</f>
        <v>2024</v>
      </c>
      <c r="L141" s="193">
        <f>L2</f>
        <v>2025</v>
      </c>
      <c r="M141" s="193" t="s">
        <v>359</v>
      </c>
      <c r="N141" s="194">
        <f t="shared" ref="N141:W141" si="71">M2</f>
        <v>2026</v>
      </c>
      <c r="O141" s="194">
        <f t="shared" si="71"/>
        <v>2027</v>
      </c>
      <c r="P141" s="194">
        <f t="shared" si="71"/>
        <v>2028</v>
      </c>
      <c r="Q141" s="194">
        <f t="shared" si="71"/>
        <v>2029</v>
      </c>
      <c r="R141" s="194">
        <f t="shared" si="71"/>
        <v>2030</v>
      </c>
      <c r="S141" s="194">
        <f t="shared" si="71"/>
        <v>2031</v>
      </c>
      <c r="T141" s="194">
        <f t="shared" si="71"/>
        <v>2032</v>
      </c>
      <c r="U141" s="194">
        <f t="shared" si="71"/>
        <v>2033</v>
      </c>
      <c r="V141" s="194">
        <f t="shared" si="71"/>
        <v>2034</v>
      </c>
      <c r="W141" s="194">
        <f t="shared" si="71"/>
        <v>2035</v>
      </c>
      <c r="X141" s="214" t="s">
        <v>227</v>
      </c>
    </row>
    <row r="142" spans="4:24" ht="16" x14ac:dyDescent="0.4">
      <c r="D142" s="56" t="s">
        <v>229</v>
      </c>
      <c r="H142" s="195">
        <v>44286</v>
      </c>
      <c r="I142" s="195">
        <v>44651</v>
      </c>
      <c r="J142" s="195">
        <v>45016</v>
      </c>
      <c r="K142" s="195">
        <v>45382</v>
      </c>
      <c r="L142" s="195">
        <v>45747</v>
      </c>
      <c r="M142" s="209">
        <f>E131</f>
        <v>46099</v>
      </c>
      <c r="N142" s="195">
        <v>46112</v>
      </c>
      <c r="O142" s="195">
        <v>46477</v>
      </c>
      <c r="P142" s="195">
        <v>46843</v>
      </c>
      <c r="Q142" s="195">
        <v>47208</v>
      </c>
      <c r="R142" s="195">
        <v>47573</v>
      </c>
      <c r="S142" s="195">
        <v>47938</v>
      </c>
      <c r="T142" s="195">
        <v>48304</v>
      </c>
      <c r="U142" s="195">
        <v>48669</v>
      </c>
      <c r="V142" s="195">
        <v>49034</v>
      </c>
      <c r="W142" s="195">
        <v>49399</v>
      </c>
      <c r="X142" s="195">
        <v>49399</v>
      </c>
    </row>
    <row r="143" spans="4:24" ht="16" x14ac:dyDescent="0.4">
      <c r="D143" s="56" t="s">
        <v>232</v>
      </c>
      <c r="H143" s="210">
        <v>1</v>
      </c>
      <c r="I143" s="210">
        <f>YEARFRAC(H142,I142)</f>
        <v>1</v>
      </c>
      <c r="J143" s="210">
        <f t="shared" ref="J143:W143" si="72">YEARFRAC(I142,J142)</f>
        <v>1</v>
      </c>
      <c r="K143" s="210">
        <f t="shared" si="72"/>
        <v>1</v>
      </c>
      <c r="L143" s="210">
        <f t="shared" si="72"/>
        <v>1</v>
      </c>
      <c r="M143" s="212">
        <f t="shared" si="72"/>
        <v>0.96666666666666667</v>
      </c>
      <c r="N143" s="211">
        <f t="shared" si="72"/>
        <v>3.6111111111111108E-2</v>
      </c>
      <c r="O143" s="210">
        <f t="shared" si="72"/>
        <v>1</v>
      </c>
      <c r="P143" s="210">
        <f t="shared" si="72"/>
        <v>1</v>
      </c>
      <c r="Q143" s="210">
        <f t="shared" si="72"/>
        <v>1</v>
      </c>
      <c r="R143" s="210">
        <f t="shared" si="72"/>
        <v>1</v>
      </c>
      <c r="S143" s="210">
        <f t="shared" si="72"/>
        <v>1</v>
      </c>
      <c r="T143" s="210">
        <f t="shared" si="72"/>
        <v>1</v>
      </c>
      <c r="U143" s="210">
        <f t="shared" si="72"/>
        <v>1</v>
      </c>
      <c r="V143" s="210">
        <f t="shared" si="72"/>
        <v>1</v>
      </c>
      <c r="W143" s="210">
        <f t="shared" si="72"/>
        <v>1</v>
      </c>
      <c r="X143" s="210">
        <v>1</v>
      </c>
    </row>
    <row r="144" spans="4:24" x14ac:dyDescent="0.35">
      <c r="D144" s="1" t="s">
        <v>149</v>
      </c>
      <c r="H144" s="48">
        <f>H33</f>
        <v>13755.36</v>
      </c>
      <c r="I144" s="48">
        <f>I33</f>
        <v>7654</v>
      </c>
      <c r="J144" s="48">
        <f>J33</f>
        <v>13951</v>
      </c>
      <c r="K144" s="48">
        <f>K33</f>
        <v>19601</v>
      </c>
      <c r="L144" s="48">
        <f>L33</f>
        <v>19527</v>
      </c>
      <c r="M144" s="48">
        <v>0</v>
      </c>
      <c r="N144" s="48">
        <f t="shared" ref="N144:W144" si="73">M33</f>
        <v>38313.078278622546</v>
      </c>
      <c r="O144" s="48">
        <f t="shared" si="73"/>
        <v>42380.86871009312</v>
      </c>
      <c r="P144" s="48">
        <f t="shared" si="73"/>
        <v>46253.061930598684</v>
      </c>
      <c r="Q144" s="48">
        <f t="shared" si="73"/>
        <v>49163.277817455499</v>
      </c>
      <c r="R144" s="48">
        <f t="shared" si="73"/>
        <v>52848.968445119754</v>
      </c>
      <c r="S144" s="48">
        <f t="shared" si="73"/>
        <v>56231.386759325891</v>
      </c>
      <c r="T144" s="48">
        <f t="shared" si="73"/>
        <v>59876.086494519885</v>
      </c>
      <c r="U144" s="48">
        <f t="shared" si="73"/>
        <v>62983.644529621226</v>
      </c>
      <c r="V144" s="48">
        <f t="shared" si="73"/>
        <v>65927.078143486884</v>
      </c>
      <c r="W144" s="48">
        <f t="shared" si="73"/>
        <v>67708.651356522285</v>
      </c>
    </row>
    <row r="145" spans="4:27" ht="16" thickBot="1" x14ac:dyDescent="0.4">
      <c r="D145" s="44" t="s">
        <v>234</v>
      </c>
      <c r="E145" s="44"/>
      <c r="F145" s="44"/>
      <c r="G145" s="44"/>
      <c r="H145" s="46">
        <f>-H$144*$E$133</f>
        <v>-3462.2241119999999</v>
      </c>
      <c r="I145" s="46">
        <f>-I$144*$E$133</f>
        <v>-1926.5117999999998</v>
      </c>
      <c r="J145" s="46">
        <f>-J$144*$E$133</f>
        <v>-3511.4666999999995</v>
      </c>
      <c r="K145" s="46">
        <f>-K$144*$E$133</f>
        <v>-4933.5716999999995</v>
      </c>
      <c r="L145" s="46">
        <f>-L$144*$E$133</f>
        <v>-4914.9458999999997</v>
      </c>
      <c r="M145" s="213">
        <v>0</v>
      </c>
      <c r="N145" s="46">
        <f t="shared" ref="N145:W145" si="74">-N$144*$E$133</f>
        <v>-9643.401802729295</v>
      </c>
      <c r="O145" s="46">
        <f t="shared" si="74"/>
        <v>-10667.264654330438</v>
      </c>
      <c r="P145" s="46">
        <f t="shared" si="74"/>
        <v>-11641.895687931688</v>
      </c>
      <c r="Q145" s="46">
        <f t="shared" si="74"/>
        <v>-12374.397026653549</v>
      </c>
      <c r="R145" s="46">
        <f t="shared" si="74"/>
        <v>-13302.085357636641</v>
      </c>
      <c r="S145" s="46">
        <f t="shared" si="74"/>
        <v>-14153.440047322325</v>
      </c>
      <c r="T145" s="46">
        <f t="shared" si="74"/>
        <v>-15070.810970670655</v>
      </c>
      <c r="U145" s="46">
        <f t="shared" si="74"/>
        <v>-15852.983328105662</v>
      </c>
      <c r="V145" s="46">
        <f t="shared" si="74"/>
        <v>-16593.845568715646</v>
      </c>
      <c r="W145" s="46">
        <f t="shared" si="74"/>
        <v>-17042.267546436658</v>
      </c>
    </row>
    <row r="146" spans="4:27" x14ac:dyDescent="0.35">
      <c r="D146" s="1" t="s">
        <v>235</v>
      </c>
      <c r="H146" s="48">
        <f>SUM(H144:H145)</f>
        <v>10293.135888000001</v>
      </c>
      <c r="I146" s="48">
        <f>SUM(I144:I145)</f>
        <v>5727.4881999999998</v>
      </c>
      <c r="J146" s="48">
        <f>SUM(J144:J145)</f>
        <v>10439.533300000001</v>
      </c>
      <c r="K146" s="48">
        <f>SUM(K144:K145)</f>
        <v>14667.4283</v>
      </c>
      <c r="L146" s="48">
        <f>SUM(L144:L145)</f>
        <v>14612.054100000001</v>
      </c>
      <c r="M146" s="48">
        <v>0</v>
      </c>
      <c r="N146" s="48">
        <f t="shared" ref="N146:W146" si="75">SUM(N144:N145)</f>
        <v>28669.676475893251</v>
      </c>
      <c r="O146" s="48">
        <f t="shared" si="75"/>
        <v>31713.604055762684</v>
      </c>
      <c r="P146" s="48">
        <f t="shared" si="75"/>
        <v>34611.166242666994</v>
      </c>
      <c r="Q146" s="48">
        <f t="shared" si="75"/>
        <v>36788.880790801952</v>
      </c>
      <c r="R146" s="48">
        <f t="shared" si="75"/>
        <v>39546.883087483111</v>
      </c>
      <c r="S146" s="48">
        <f t="shared" si="75"/>
        <v>42077.94671200357</v>
      </c>
      <c r="T146" s="48">
        <f t="shared" si="75"/>
        <v>44805.275523849232</v>
      </c>
      <c r="U146" s="48">
        <f t="shared" si="75"/>
        <v>47130.661201515562</v>
      </c>
      <c r="V146" s="48">
        <f t="shared" si="75"/>
        <v>49333.232574771238</v>
      </c>
      <c r="W146" s="48">
        <f t="shared" si="75"/>
        <v>50666.383810085623</v>
      </c>
      <c r="Z146" s="196" t="s">
        <v>228</v>
      </c>
      <c r="AA146" s="197"/>
    </row>
    <row r="147" spans="4:27" ht="16" x14ac:dyDescent="0.4">
      <c r="D147" s="1" t="s">
        <v>236</v>
      </c>
      <c r="H147" s="48">
        <f>-H$32</f>
        <v>946.99</v>
      </c>
      <c r="I147" s="48">
        <f>-I$32</f>
        <v>965</v>
      </c>
      <c r="J147" s="48">
        <f>-J$32</f>
        <v>1339</v>
      </c>
      <c r="K147" s="48">
        <f>-K$32</f>
        <v>1636</v>
      </c>
      <c r="L147" s="48">
        <f>-L$32</f>
        <v>2369</v>
      </c>
      <c r="M147" s="48">
        <v>0</v>
      </c>
      <c r="N147" s="48">
        <f t="shared" ref="N147:W147" si="76">-M$32</f>
        <v>2945.8267052341125</v>
      </c>
      <c r="O147" s="48">
        <f t="shared" si="76"/>
        <v>3210.2212970684113</v>
      </c>
      <c r="P147" s="48">
        <f t="shared" si="76"/>
        <v>3441.2261772074266</v>
      </c>
      <c r="Q147" s="48">
        <f t="shared" si="76"/>
        <v>4506.5533389750944</v>
      </c>
      <c r="R147" s="48">
        <f t="shared" si="76"/>
        <v>4577.7508922609686</v>
      </c>
      <c r="S147" s="48">
        <f t="shared" si="76"/>
        <v>4640.9357382977205</v>
      </c>
      <c r="T147" s="48">
        <f t="shared" si="76"/>
        <v>4344.213740473042</v>
      </c>
      <c r="U147" s="48">
        <f t="shared" si="76"/>
        <v>4447.6707171212265</v>
      </c>
      <c r="V147" s="48">
        <f t="shared" si="76"/>
        <v>4538.6462893589733</v>
      </c>
      <c r="W147" s="48">
        <f t="shared" si="76"/>
        <v>5575.7020536376049</v>
      </c>
      <c r="Z147" s="198" t="s">
        <v>230</v>
      </c>
      <c r="AA147" s="199">
        <f>($W$144+$W$147)*$E$134</f>
        <v>1174444.842396677</v>
      </c>
    </row>
    <row r="148" spans="4:27" x14ac:dyDescent="0.35">
      <c r="D148" s="1" t="s">
        <v>237</v>
      </c>
      <c r="H148" s="48">
        <f>-H$116</f>
        <v>0</v>
      </c>
      <c r="I148" s="48">
        <f>-I$116</f>
        <v>-1985.9899999999998</v>
      </c>
      <c r="J148" s="48">
        <f>-J$116</f>
        <v>-4384</v>
      </c>
      <c r="K148" s="48">
        <f>-K$116</f>
        <v>-5052</v>
      </c>
      <c r="L148" s="48">
        <f>-L$116</f>
        <v>-7968</v>
      </c>
      <c r="M148" s="48">
        <v>0</v>
      </c>
      <c r="N148" s="48">
        <f t="shared" ref="N148:W148" si="77">-M$116</f>
        <v>-4847.4974999999995</v>
      </c>
      <c r="O148" s="48">
        <f t="shared" si="77"/>
        <v>-4871.7349874999991</v>
      </c>
      <c r="P148" s="48">
        <f t="shared" si="77"/>
        <v>-4896.093662437499</v>
      </c>
      <c r="Q148" s="48">
        <f t="shared" si="77"/>
        <v>-4920.5741307496855</v>
      </c>
      <c r="R148" s="48">
        <f t="shared" si="77"/>
        <v>-4945.1770014034337</v>
      </c>
      <c r="S148" s="48">
        <f t="shared" si="77"/>
        <v>-4969.9028864104503</v>
      </c>
      <c r="T148" s="48">
        <f t="shared" si="77"/>
        <v>-4994.7524008425016</v>
      </c>
      <c r="U148" s="48">
        <f t="shared" si="77"/>
        <v>-5019.726162846714</v>
      </c>
      <c r="V148" s="48">
        <f t="shared" si="77"/>
        <v>-5044.8247936609469</v>
      </c>
      <c r="W148" s="48">
        <f t="shared" si="77"/>
        <v>-5070.0489176292513</v>
      </c>
      <c r="Z148" s="200" t="s">
        <v>231</v>
      </c>
      <c r="AA148" s="201">
        <f>$W$150*(1+$E$135)/($E$136-$E$135)</f>
        <v>640565.28063774004</v>
      </c>
    </row>
    <row r="149" spans="4:27" ht="16" x14ac:dyDescent="0.4">
      <c r="D149" s="1" t="s">
        <v>238</v>
      </c>
      <c r="H149" s="48">
        <f>H$112</f>
        <v>-6604.1399999999985</v>
      </c>
      <c r="I149" s="48">
        <f>I$112</f>
        <v>-14826</v>
      </c>
      <c r="J149" s="48">
        <f>J$112</f>
        <v>-11729</v>
      </c>
      <c r="K149" s="48">
        <f>K$112</f>
        <v>15841</v>
      </c>
      <c r="L149" s="48">
        <f>L$112</f>
        <v>-59550</v>
      </c>
      <c r="M149" s="213">
        <v>0</v>
      </c>
      <c r="N149" s="48">
        <f t="shared" ref="N149:W149" si="78">M$112</f>
        <v>-66133.291194596663</v>
      </c>
      <c r="O149" s="48">
        <f t="shared" si="78"/>
        <v>-27462.045575432705</v>
      </c>
      <c r="P149" s="48">
        <f t="shared" si="78"/>
        <v>-26010.48030930262</v>
      </c>
      <c r="Q149" s="48">
        <f t="shared" si="78"/>
        <v>-25201.265366346597</v>
      </c>
      <c r="R149" s="48">
        <f t="shared" si="78"/>
        <v>-23815.195771197494</v>
      </c>
      <c r="S149" s="48">
        <f t="shared" si="78"/>
        <v>-21841.936693012583</v>
      </c>
      <c r="T149" s="48">
        <f t="shared" si="78"/>
        <v>-21223.081820043833</v>
      </c>
      <c r="U149" s="48">
        <f t="shared" si="78"/>
        <v>-20354.864836496708</v>
      </c>
      <c r="V149" s="48">
        <f t="shared" si="78"/>
        <v>-19235.347270489274</v>
      </c>
      <c r="W149" s="48">
        <f t="shared" si="78"/>
        <v>-17867.500353476687</v>
      </c>
      <c r="Z149" s="202" t="s">
        <v>233</v>
      </c>
      <c r="AA149" s="203">
        <f>AVERAGE(AA147:AA148)</f>
        <v>907505.06151720858</v>
      </c>
    </row>
    <row r="150" spans="4:27" ht="16" thickBot="1" x14ac:dyDescent="0.4">
      <c r="D150" s="51" t="s">
        <v>239</v>
      </c>
      <c r="E150" s="50"/>
      <c r="F150" s="50"/>
      <c r="G150" s="50"/>
      <c r="H150" s="53">
        <f>SUM(H146:H149)</f>
        <v>4635.985888000002</v>
      </c>
      <c r="I150" s="53">
        <f>SUM(I146:I149)</f>
        <v>-10119.5018</v>
      </c>
      <c r="J150" s="53">
        <f>SUM(J146:J149)</f>
        <v>-4334.466699999999</v>
      </c>
      <c r="K150" s="53">
        <f>SUM(K146:K149)</f>
        <v>27092.4283</v>
      </c>
      <c r="L150" s="53">
        <f>SUM(L146:L149)</f>
        <v>-50536.945899999999</v>
      </c>
      <c r="M150" s="48">
        <v>0</v>
      </c>
      <c r="N150" s="53">
        <f t="shared" ref="N150:W150" si="79">SUM(N146:N149)</f>
        <v>-39365.285513469295</v>
      </c>
      <c r="O150" s="53">
        <f t="shared" si="79"/>
        <v>2590.0447898983912</v>
      </c>
      <c r="P150" s="53">
        <f t="shared" si="79"/>
        <v>7145.8184481342978</v>
      </c>
      <c r="Q150" s="53">
        <f t="shared" si="79"/>
        <v>11173.594632680761</v>
      </c>
      <c r="R150" s="53">
        <f t="shared" si="79"/>
        <v>15364.261207143154</v>
      </c>
      <c r="S150" s="53">
        <f t="shared" si="79"/>
        <v>19907.042870878257</v>
      </c>
      <c r="T150" s="53">
        <f t="shared" si="79"/>
        <v>22931.655043435934</v>
      </c>
      <c r="U150" s="53">
        <f t="shared" si="79"/>
        <v>26203.740919293363</v>
      </c>
      <c r="V150" s="53">
        <f t="shared" si="79"/>
        <v>29591.706799979987</v>
      </c>
      <c r="W150" s="53">
        <f t="shared" si="79"/>
        <v>33304.536592617289</v>
      </c>
      <c r="X150" s="53">
        <f>AA149</f>
        <v>907505.06151720858</v>
      </c>
      <c r="Z150" s="204"/>
      <c r="AA150" s="205"/>
    </row>
    <row r="151" spans="4:27" x14ac:dyDescent="0.35">
      <c r="H151" s="48"/>
      <c r="I151" s="48"/>
      <c r="J151" s="48"/>
      <c r="K151" s="48"/>
      <c r="L151" s="48"/>
      <c r="M151" s="48">
        <v>0</v>
      </c>
      <c r="N151" s="48"/>
      <c r="O151" s="48"/>
      <c r="P151" s="48"/>
      <c r="Q151" s="48"/>
      <c r="R151" s="48"/>
      <c r="S151" s="48"/>
    </row>
    <row r="152" spans="4:27" x14ac:dyDescent="0.35">
      <c r="D152" s="4" t="s">
        <v>240</v>
      </c>
      <c r="H152" s="75">
        <f>H150*H143</f>
        <v>4635.985888000002</v>
      </c>
      <c r="I152" s="75">
        <f>I150*I143</f>
        <v>-10119.5018</v>
      </c>
      <c r="J152" s="75">
        <f t="shared" ref="J152:X152" si="80">J150*J143</f>
        <v>-4334.466699999999</v>
      </c>
      <c r="K152" s="75">
        <f t="shared" si="80"/>
        <v>27092.4283</v>
      </c>
      <c r="L152" s="75">
        <f t="shared" si="80"/>
        <v>-50536.945899999999</v>
      </c>
      <c r="M152" s="75">
        <f t="shared" si="80"/>
        <v>0</v>
      </c>
      <c r="N152" s="75">
        <f>N150*N143</f>
        <v>-1421.5241990975021</v>
      </c>
      <c r="O152" s="75">
        <f t="shared" si="80"/>
        <v>2590.0447898983912</v>
      </c>
      <c r="P152" s="75">
        <f t="shared" si="80"/>
        <v>7145.8184481342978</v>
      </c>
      <c r="Q152" s="75">
        <f t="shared" si="80"/>
        <v>11173.594632680761</v>
      </c>
      <c r="R152" s="75">
        <f t="shared" si="80"/>
        <v>15364.261207143154</v>
      </c>
      <c r="S152" s="75">
        <f t="shared" si="80"/>
        <v>19907.042870878257</v>
      </c>
      <c r="T152" s="75">
        <f t="shared" si="80"/>
        <v>22931.655043435934</v>
      </c>
      <c r="U152" s="75">
        <f t="shared" si="80"/>
        <v>26203.740919293363</v>
      </c>
      <c r="V152" s="75">
        <f t="shared" si="80"/>
        <v>29591.706799979987</v>
      </c>
      <c r="W152" s="75">
        <f t="shared" si="80"/>
        <v>33304.536592617289</v>
      </c>
      <c r="X152" s="75">
        <f t="shared" si="80"/>
        <v>907505.06151720858</v>
      </c>
    </row>
    <row r="158" spans="4:27" x14ac:dyDescent="0.35">
      <c r="D158" s="15" t="s">
        <v>241</v>
      </c>
      <c r="E158" s="15"/>
      <c r="F158" s="4"/>
      <c r="H158" s="48"/>
      <c r="I158" s="61" t="s">
        <v>242</v>
      </c>
      <c r="J158" s="61"/>
      <c r="K158" s="61"/>
      <c r="L158" s="48"/>
      <c r="M158" s="61" t="s">
        <v>243</v>
      </c>
      <c r="N158" s="61"/>
      <c r="O158" s="61"/>
      <c r="P158" s="48"/>
    </row>
    <row r="159" spans="4:27" x14ac:dyDescent="0.35">
      <c r="D159" s="1" t="s">
        <v>244</v>
      </c>
      <c r="E159" s="5">
        <f>XNPV($E$136,$H$152:$X$152,$H$142:$X$142)</f>
        <v>295599.50743966381</v>
      </c>
      <c r="H159" s="48"/>
      <c r="I159" s="48" t="s">
        <v>245</v>
      </c>
      <c r="J159" s="48"/>
      <c r="K159" s="48">
        <f>Comps!J16</f>
        <v>1052076.9493410001</v>
      </c>
      <c r="L159" s="48"/>
      <c r="M159" s="48" t="s">
        <v>225</v>
      </c>
      <c r="N159" s="48"/>
      <c r="O159" s="48">
        <f>K165</f>
        <v>3562.6317521019632</v>
      </c>
      <c r="P159" s="48"/>
    </row>
    <row r="160" spans="4:27" x14ac:dyDescent="0.35">
      <c r="D160" s="1" t="s">
        <v>246</v>
      </c>
      <c r="E160" s="48">
        <f>$L$45+$L$46+$L$54</f>
        <v>24464</v>
      </c>
      <c r="H160" s="48"/>
      <c r="I160" s="48" t="s">
        <v>247</v>
      </c>
      <c r="J160" s="48"/>
      <c r="K160" s="48">
        <f>-E161</f>
        <v>79725</v>
      </c>
      <c r="L160" s="48"/>
      <c r="M160" s="48" t="s">
        <v>248</v>
      </c>
      <c r="N160" s="48"/>
      <c r="O160" s="48">
        <f>E165</f>
        <v>773.23964049719882</v>
      </c>
      <c r="P160" s="48"/>
    </row>
    <row r="161" spans="1:22" x14ac:dyDescent="0.35">
      <c r="D161" s="1" t="s">
        <v>249</v>
      </c>
      <c r="E161" s="48">
        <f>-L123</f>
        <v>-79725</v>
      </c>
      <c r="H161" s="48"/>
      <c r="I161" s="48" t="s">
        <v>250</v>
      </c>
      <c r="J161" s="48"/>
      <c r="K161" s="48">
        <v>0</v>
      </c>
      <c r="L161" s="48"/>
      <c r="M161" s="48" t="s">
        <v>251</v>
      </c>
      <c r="N161" s="48"/>
      <c r="O161" s="36">
        <f>O160/O159-1</f>
        <v>-0.78295830321475546</v>
      </c>
      <c r="P161" s="48"/>
    </row>
    <row r="162" spans="1:22" x14ac:dyDescent="0.35">
      <c r="D162" s="1" t="s">
        <v>252</v>
      </c>
      <c r="E162" s="48">
        <f>-L70</f>
        <v>0</v>
      </c>
      <c r="H162" s="48"/>
      <c r="I162" s="48" t="s">
        <v>253</v>
      </c>
      <c r="J162" s="48"/>
      <c r="K162" s="48">
        <f>-E160</f>
        <v>-24464</v>
      </c>
      <c r="L162" s="48"/>
      <c r="M162" s="48"/>
      <c r="N162" s="48"/>
      <c r="O162" s="48"/>
      <c r="P162" s="48"/>
    </row>
    <row r="163" spans="1:22" x14ac:dyDescent="0.35">
      <c r="D163" s="1" t="s">
        <v>254</v>
      </c>
      <c r="E163" s="64">
        <f>SUM($E$159:$E$162)</f>
        <v>240338.50743966381</v>
      </c>
      <c r="H163" s="48"/>
      <c r="I163" s="48" t="s">
        <v>244</v>
      </c>
      <c r="J163" s="48"/>
      <c r="K163" s="63">
        <f>SUM(K159:K162)</f>
        <v>1107337.9493410001</v>
      </c>
      <c r="L163" s="48"/>
      <c r="M163" s="48"/>
      <c r="N163" s="48"/>
      <c r="O163" s="48"/>
      <c r="P163" s="48"/>
    </row>
    <row r="164" spans="1:22" x14ac:dyDescent="0.35">
      <c r="H164" s="48"/>
      <c r="I164" s="48"/>
      <c r="J164" s="48"/>
      <c r="K164" s="48"/>
      <c r="L164" s="48"/>
      <c r="M164" s="48"/>
      <c r="N164" s="48"/>
      <c r="O164" s="48"/>
      <c r="P164" s="48"/>
    </row>
    <row r="165" spans="1:22" x14ac:dyDescent="0.35">
      <c r="D165" s="1" t="s">
        <v>255</v>
      </c>
      <c r="E165" s="65">
        <f>$E$163/$E$137</f>
        <v>773.23964049719882</v>
      </c>
      <c r="H165" s="48"/>
      <c r="I165" s="1" t="s">
        <v>255</v>
      </c>
      <c r="J165" s="48"/>
      <c r="K165" s="65">
        <f>K163/E137</f>
        <v>3562.6317521019632</v>
      </c>
      <c r="L165" s="48"/>
      <c r="M165" s="48"/>
      <c r="N165" s="48"/>
      <c r="O165" s="48"/>
      <c r="P165" s="48"/>
    </row>
    <row r="170" spans="1:22" s="48" customFormat="1" outlineLevel="1" x14ac:dyDescent="0.35">
      <c r="A170" s="23" t="s">
        <v>256</v>
      </c>
      <c r="B170" s="28"/>
      <c r="C170" s="28"/>
      <c r="D170" s="28"/>
      <c r="E170" s="28"/>
      <c r="F170" s="28"/>
      <c r="G170" s="28"/>
      <c r="H170" s="28"/>
      <c r="I170" s="28"/>
      <c r="J170" s="28"/>
      <c r="K170" s="28"/>
      <c r="L170" s="28"/>
      <c r="M170" s="28"/>
      <c r="N170" s="28"/>
      <c r="O170" s="28"/>
      <c r="P170" s="28"/>
      <c r="Q170" s="28"/>
      <c r="R170" s="28"/>
      <c r="S170" s="28"/>
      <c r="T170" s="28"/>
      <c r="U170" s="28"/>
      <c r="V170" s="28"/>
    </row>
    <row r="172" spans="1:22" x14ac:dyDescent="0.35">
      <c r="C172" s="179"/>
      <c r="D172" s="179"/>
      <c r="E172" s="179"/>
      <c r="F172" s="179"/>
      <c r="H172" s="172" t="s">
        <v>343</v>
      </c>
      <c r="I172" s="172"/>
      <c r="J172" s="172"/>
      <c r="K172" s="172"/>
      <c r="L172" s="172"/>
      <c r="M172" s="172"/>
      <c r="N172" s="172"/>
    </row>
    <row r="173" spans="1:22" x14ac:dyDescent="0.35">
      <c r="C173" s="179"/>
      <c r="D173" s="179"/>
      <c r="E173" s="179"/>
      <c r="F173" s="179"/>
    </row>
    <row r="174" spans="1:22" ht="16" thickBot="1" x14ac:dyDescent="0.4">
      <c r="C174" s="179"/>
      <c r="D174" s="179"/>
      <c r="E174" s="179"/>
      <c r="F174" s="179"/>
      <c r="J174" s="312" t="s">
        <v>344</v>
      </c>
      <c r="K174" s="312"/>
      <c r="L174" s="312"/>
      <c r="M174" s="312"/>
      <c r="N174" s="312"/>
    </row>
    <row r="175" spans="1:22" x14ac:dyDescent="0.35">
      <c r="C175" s="179"/>
      <c r="D175" s="179"/>
      <c r="E175" s="179"/>
      <c r="F175" s="179"/>
      <c r="I175" s="175">
        <f>E165</f>
        <v>773.23964049719882</v>
      </c>
      <c r="J175" s="173">
        <v>10</v>
      </c>
      <c r="K175" s="173">
        <v>13</v>
      </c>
      <c r="L175" s="173">
        <v>16.024999999999999</v>
      </c>
      <c r="M175" s="173">
        <v>21</v>
      </c>
      <c r="N175" s="173">
        <v>26</v>
      </c>
    </row>
    <row r="176" spans="1:22" x14ac:dyDescent="0.35">
      <c r="C176" s="179"/>
      <c r="D176" s="179"/>
      <c r="E176" s="179"/>
      <c r="F176" s="179"/>
      <c r="H176" s="309" t="s">
        <v>223</v>
      </c>
      <c r="I176" s="174">
        <v>0.08</v>
      </c>
      <c r="J176" s="48">
        <f t="dataTable" ref="J176:N180" dt2D="1" dtr="1" r1="E134" r2="E136" ca="1"/>
        <v>845.62944903569246</v>
      </c>
      <c r="K176" s="48">
        <v>965.96279071881656</v>
      </c>
      <c r="L176" s="48">
        <v>1087.2989102493</v>
      </c>
      <c r="M176" s="48">
        <v>1286.8517018738141</v>
      </c>
      <c r="N176" s="48">
        <v>1487.4072713456878</v>
      </c>
    </row>
    <row r="177" spans="3:14" x14ac:dyDescent="0.35">
      <c r="C177" s="179"/>
      <c r="D177" s="179"/>
      <c r="E177" s="179"/>
      <c r="F177" s="179"/>
      <c r="H177" s="309"/>
      <c r="I177" s="174">
        <v>0.09</v>
      </c>
      <c r="J177" s="48">
        <v>637.39927539075802</v>
      </c>
      <c r="K177" s="176">
        <v>743.15762958248445</v>
      </c>
      <c r="L177" s="176">
        <v>849.79730339247533</v>
      </c>
      <c r="M177" s="176">
        <v>1025.1799074270887</v>
      </c>
      <c r="N177" s="48">
        <v>1201.443831079966</v>
      </c>
    </row>
    <row r="178" spans="3:14" x14ac:dyDescent="0.35">
      <c r="C178" s="179"/>
      <c r="D178" s="179"/>
      <c r="E178" s="179"/>
      <c r="F178" s="179"/>
      <c r="H178" s="309"/>
      <c r="I178" s="174">
        <v>9.4074000000000005E-2</v>
      </c>
      <c r="J178" s="48">
        <v>571.59420644089766</v>
      </c>
      <c r="K178" s="176">
        <v>671.96759232271882</v>
      </c>
      <c r="L178" s="177">
        <v>773.17742308688833</v>
      </c>
      <c r="M178" s="176">
        <v>939.62995467424139</v>
      </c>
      <c r="N178" s="48">
        <v>1106.9189311439434</v>
      </c>
    </row>
    <row r="179" spans="3:14" x14ac:dyDescent="0.35">
      <c r="C179" s="179"/>
      <c r="D179" s="179"/>
      <c r="E179" s="179"/>
      <c r="F179" s="179"/>
      <c r="H179" s="309"/>
      <c r="I179" s="174">
        <v>0.1</v>
      </c>
      <c r="J179" s="48">
        <v>489.47002664162727</v>
      </c>
      <c r="K179" s="176">
        <v>582.52840149729536</v>
      </c>
      <c r="L179" s="176">
        <v>676.36226281009385</v>
      </c>
      <c r="M179" s="176">
        <v>830.68406777907683</v>
      </c>
      <c r="N179" s="48">
        <v>985.78135920519014</v>
      </c>
    </row>
    <row r="180" spans="3:14" ht="19.5" customHeight="1" x14ac:dyDescent="0.35">
      <c r="C180" s="179"/>
      <c r="D180" s="179"/>
      <c r="E180" s="179"/>
      <c r="F180" s="179"/>
      <c r="H180" s="309"/>
      <c r="I180" s="174">
        <v>0.11</v>
      </c>
      <c r="J180" s="48">
        <v>377.93408716191453</v>
      </c>
      <c r="K180" s="48">
        <v>459.91241382747359</v>
      </c>
      <c r="L180" s="48">
        <v>542.57389321524556</v>
      </c>
      <c r="M180" s="48">
        <v>678.521284935631</v>
      </c>
      <c r="N180" s="48">
        <v>815.15182937822954</v>
      </c>
    </row>
    <row r="181" spans="3:14" x14ac:dyDescent="0.35">
      <c r="C181" s="179"/>
      <c r="D181" s="179"/>
      <c r="E181" s="179"/>
      <c r="F181" s="179"/>
    </row>
    <row r="182" spans="3:14" x14ac:dyDescent="0.35">
      <c r="C182" s="179"/>
      <c r="D182" s="179"/>
      <c r="E182" s="179"/>
      <c r="F182" s="179"/>
    </row>
    <row r="183" spans="3:14" ht="16" thickBot="1" x14ac:dyDescent="0.4">
      <c r="C183" s="179"/>
      <c r="D183" s="179"/>
      <c r="E183" s="179"/>
      <c r="F183" s="179"/>
      <c r="J183" s="312" t="s">
        <v>345</v>
      </c>
      <c r="K183" s="312"/>
      <c r="L183" s="312"/>
      <c r="M183" s="312"/>
      <c r="N183" s="312"/>
    </row>
    <row r="184" spans="3:14" x14ac:dyDescent="0.35">
      <c r="C184" s="179"/>
      <c r="D184" s="179"/>
      <c r="E184" s="179"/>
      <c r="F184" s="179"/>
      <c r="I184" s="175">
        <f>E165</f>
        <v>773.23964049719882</v>
      </c>
      <c r="J184" s="178">
        <v>0.02</v>
      </c>
      <c r="K184" s="178">
        <v>0.03</v>
      </c>
      <c r="L184" s="178">
        <v>0.04</v>
      </c>
      <c r="M184" s="178">
        <v>0.05</v>
      </c>
      <c r="N184" s="178">
        <v>0.06</v>
      </c>
    </row>
    <row r="185" spans="3:14" ht="15.5" customHeight="1" x14ac:dyDescent="0.35">
      <c r="C185" s="179"/>
      <c r="D185" s="179"/>
      <c r="E185" s="179"/>
      <c r="F185" s="179"/>
      <c r="H185" s="309" t="s">
        <v>223</v>
      </c>
      <c r="I185" s="174">
        <v>0.08</v>
      </c>
      <c r="J185" s="48">
        <f t="dataTable" ref="J185:N189" dt2D="1" dtr="1" r1="E135" r2="E136"/>
        <v>923.27469749533589</v>
      </c>
      <c r="K185" s="48">
        <v>988.89819274214392</v>
      </c>
      <c r="L185" s="48">
        <v>1087.3334356123562</v>
      </c>
      <c r="M185" s="48">
        <v>1251.3921737293763</v>
      </c>
      <c r="N185" s="48">
        <v>1579.5096499634165</v>
      </c>
    </row>
    <row r="186" spans="3:14" x14ac:dyDescent="0.35">
      <c r="C186" s="179"/>
      <c r="D186" s="179"/>
      <c r="E186" s="179"/>
      <c r="F186" s="179"/>
      <c r="H186" s="309"/>
      <c r="I186" s="174">
        <v>0.09</v>
      </c>
      <c r="J186" s="48">
        <v>750.04063622498882</v>
      </c>
      <c r="K186" s="176">
        <v>791.61855737391147</v>
      </c>
      <c r="L186" s="176">
        <v>849.82764698240317</v>
      </c>
      <c r="M186" s="176">
        <v>937.14128139514082</v>
      </c>
      <c r="N186" s="48">
        <v>1082.6640054163699</v>
      </c>
    </row>
    <row r="187" spans="3:14" x14ac:dyDescent="0.35">
      <c r="C187" s="179"/>
      <c r="D187" s="179"/>
      <c r="E187" s="179"/>
      <c r="F187" s="179"/>
      <c r="H187" s="309"/>
      <c r="I187" s="174">
        <v>9.4074000000000005E-2</v>
      </c>
      <c r="J187" s="48">
        <v>690.14241050806379</v>
      </c>
      <c r="K187" s="176">
        <v>725.19245049154449</v>
      </c>
      <c r="L187" s="177">
        <v>773.20622165210932</v>
      </c>
      <c r="M187" s="176">
        <v>843.00779113393571</v>
      </c>
      <c r="N187" s="48">
        <v>953.77993611721581</v>
      </c>
    </row>
    <row r="188" spans="3:14" x14ac:dyDescent="0.35">
      <c r="C188" s="179"/>
      <c r="D188" s="179"/>
      <c r="E188" s="179"/>
      <c r="F188" s="179"/>
      <c r="H188" s="309"/>
      <c r="I188" s="174">
        <v>0.1</v>
      </c>
      <c r="J188" s="48">
        <v>611.77776553398598</v>
      </c>
      <c r="K188" s="176">
        <v>639.46827855955553</v>
      </c>
      <c r="L188" s="176">
        <v>676.38896259364799</v>
      </c>
      <c r="M188" s="176">
        <v>728.0779202413778</v>
      </c>
      <c r="N188" s="48">
        <v>805.61135671297188</v>
      </c>
    </row>
    <row r="189" spans="3:14" x14ac:dyDescent="0.35">
      <c r="C189" s="179"/>
      <c r="D189" s="179"/>
      <c r="E189" s="179"/>
      <c r="F189" s="179"/>
      <c r="H189" s="309"/>
      <c r="I189" s="174">
        <v>0.11</v>
      </c>
      <c r="J189" s="48">
        <v>498.83690603554328</v>
      </c>
      <c r="K189" s="48">
        <v>517.98212825858536</v>
      </c>
      <c r="L189" s="48">
        <v>542.59741397392531</v>
      </c>
      <c r="M189" s="48">
        <v>575.41779492771195</v>
      </c>
      <c r="N189" s="48">
        <v>621.3663282630132</v>
      </c>
    </row>
    <row r="190" spans="3:14" x14ac:dyDescent="0.35">
      <c r="C190" s="179"/>
      <c r="D190" s="179"/>
      <c r="E190" s="179"/>
      <c r="F190" s="179"/>
      <c r="H190" s="309"/>
    </row>
  </sheetData>
  <mergeCells count="6">
    <mergeCell ref="M1:V1"/>
    <mergeCell ref="H185:H190"/>
    <mergeCell ref="H1:L1"/>
    <mergeCell ref="J174:N174"/>
    <mergeCell ref="H176:H180"/>
    <mergeCell ref="J183:N183"/>
  </mergeCells>
  <phoneticPr fontId="38" type="noConversion"/>
  <pageMargins left="0.7" right="0.7" top="0.75" bottom="0.75" header="0.3" footer="0.3"/>
  <ignoredErrors>
    <ignoredError sqref="H26 I26:L26 H55:L55 H61:L61 H94:L94 L49" formulaRange="1"/>
  </ignoredErrors>
  <extLst>
    <ext xmlns:x14="http://schemas.microsoft.com/office/spreadsheetml/2009/9/main" uri="{CCE6A557-97BC-4b89-ADB6-D9C93CAAB3DF}">
      <x14:dataValidations xmlns:xm="http://schemas.microsoft.com/office/excel/2006/main" count="1">
        <x14:dataValidation type="list" allowBlank="1" showInputMessage="1" showErrorMessage="1" xr:uid="{A2531DC1-559A-4054-B72C-C8D868D5217E}">
          <x14:formula1>
            <xm:f>Scenario!$D$5:$D$7</xm:f>
          </x14:formula1>
          <xm:sqref>E7</xm:sqref>
        </x14:dataValidation>
      </x14:dataValidations>
    </ext>
  </extLst>
</worksheet>
</file>

<file path=xl/worksheets/sheet5.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5E0B968D-DF8D-4F5B-948F-7FF973285396}">
  <dimension ref="A1:R17"/>
  <sheetViews>
    <sheetView showGridLines="0" zoomScale="80" zoomScaleNormal="80" workbookViewId="0">
      <selection activeCell="L5" sqref="L5"/>
    </sheetView>
  </sheetViews>
  <sheetFormatPr defaultColWidth="11.6328125" defaultRowHeight="15.5" x14ac:dyDescent="0.35"/>
  <cols>
    <col min="1" max="3" width="1.26953125" style="1" customWidth="1"/>
    <col min="4" max="4" width="40.6328125" style="1" customWidth="1"/>
    <col min="5" max="6" width="12.6328125" style="1" customWidth="1"/>
    <col min="7" max="7" width="2.6328125" style="1" customWidth="1"/>
    <col min="8" max="8" width="11.6328125" style="1"/>
    <col min="9" max="9" width="11.6328125" style="1" customWidth="1"/>
    <col min="10" max="16384" width="11.6328125" style="1"/>
  </cols>
  <sheetData>
    <row r="1" spans="1:18" ht="32" x14ac:dyDescent="0.7">
      <c r="A1" s="9" t="s">
        <v>1</v>
      </c>
      <c r="B1" s="10"/>
      <c r="C1" s="10"/>
      <c r="D1" s="10"/>
      <c r="E1" s="10"/>
      <c r="F1" s="10"/>
      <c r="G1" s="10"/>
      <c r="H1" s="10"/>
      <c r="I1" s="10"/>
      <c r="J1" s="10"/>
      <c r="K1" s="10"/>
      <c r="L1" s="10"/>
      <c r="M1" s="10"/>
      <c r="N1" s="10"/>
      <c r="O1" s="10"/>
      <c r="P1" s="10"/>
      <c r="Q1" s="10"/>
    </row>
    <row r="2" spans="1:18" x14ac:dyDescent="0.35">
      <c r="A2" s="11" t="s">
        <v>260</v>
      </c>
      <c r="B2" s="10"/>
      <c r="C2" s="10"/>
      <c r="D2" s="10"/>
      <c r="E2" s="10"/>
      <c r="F2" s="10"/>
      <c r="G2" s="10"/>
      <c r="H2" s="10"/>
      <c r="I2" s="10"/>
      <c r="J2" s="10"/>
      <c r="K2" s="10"/>
      <c r="L2" s="10"/>
      <c r="M2" s="10"/>
      <c r="N2" s="10"/>
      <c r="O2" s="10"/>
      <c r="P2" s="10"/>
      <c r="Q2" s="10"/>
    </row>
    <row r="3" spans="1:18" s="85" customFormat="1" x14ac:dyDescent="0.35">
      <c r="A3" s="83"/>
      <c r="B3" s="84"/>
      <c r="C3" s="84"/>
      <c r="D3" s="84"/>
      <c r="E3" s="84"/>
      <c r="F3" s="84"/>
      <c r="G3" s="84"/>
      <c r="H3" s="84"/>
      <c r="I3" s="84"/>
      <c r="J3" s="84"/>
      <c r="K3" s="84"/>
      <c r="L3" s="84"/>
      <c r="Q3" s="93"/>
    </row>
    <row r="4" spans="1:18" ht="16" thickBot="1" x14ac:dyDescent="0.4">
      <c r="C4" s="4" t="s">
        <v>260</v>
      </c>
      <c r="E4" s="4" t="s">
        <v>263</v>
      </c>
      <c r="H4" s="1">
        <f>Model!M2</f>
        <v>2026</v>
      </c>
      <c r="I4" s="1">
        <f>Model!N2</f>
        <v>2027</v>
      </c>
      <c r="J4" s="1">
        <f>Model!O2</f>
        <v>2028</v>
      </c>
      <c r="K4" s="1">
        <f>Model!P2</f>
        <v>2029</v>
      </c>
      <c r="L4" s="1">
        <f>Model!Q2</f>
        <v>2030</v>
      </c>
      <c r="M4" s="1">
        <f>Model!R2</f>
        <v>2031</v>
      </c>
      <c r="N4" s="1">
        <f>Model!S2</f>
        <v>2032</v>
      </c>
      <c r="O4" s="1">
        <f>Model!T2</f>
        <v>2033</v>
      </c>
      <c r="P4" s="1">
        <f>Model!U2</f>
        <v>2034</v>
      </c>
      <c r="Q4" s="1">
        <f>Model!V2</f>
        <v>2035</v>
      </c>
    </row>
    <row r="5" spans="1:18" ht="16" thickBot="1" x14ac:dyDescent="0.4">
      <c r="D5" s="1" t="s">
        <v>261</v>
      </c>
      <c r="E5" s="86">
        <v>0.2</v>
      </c>
      <c r="H5" s="36"/>
      <c r="I5" s="36">
        <v>0.18</v>
      </c>
      <c r="J5" s="36">
        <v>0.15</v>
      </c>
      <c r="K5" s="36">
        <v>0.12</v>
      </c>
      <c r="L5" s="36">
        <v>0.09</v>
      </c>
      <c r="M5" s="36">
        <v>7.4999999999999997E-2</v>
      </c>
      <c r="N5" s="36">
        <v>0.06</v>
      </c>
      <c r="O5" s="36">
        <v>0.05</v>
      </c>
      <c r="P5" s="36">
        <v>4.4999999999999998E-2</v>
      </c>
      <c r="Q5" s="36">
        <v>0.04</v>
      </c>
    </row>
    <row r="6" spans="1:18" ht="16" thickBot="1" x14ac:dyDescent="0.4">
      <c r="D6" s="1" t="s">
        <v>262</v>
      </c>
      <c r="E6" s="207">
        <v>0.25</v>
      </c>
      <c r="H6" s="36"/>
      <c r="I6" s="36">
        <v>0.21</v>
      </c>
      <c r="J6" s="36">
        <v>0.18</v>
      </c>
      <c r="K6" s="36">
        <v>0.14499999999999999</v>
      </c>
      <c r="L6" s="36">
        <v>0.11</v>
      </c>
      <c r="M6" s="36">
        <v>0.09</v>
      </c>
      <c r="N6" s="36">
        <v>7.4999999999999997E-2</v>
      </c>
      <c r="O6" s="36">
        <v>0.06</v>
      </c>
      <c r="P6" s="36">
        <v>0.05</v>
      </c>
      <c r="Q6" s="36">
        <v>4.4999999999999998E-2</v>
      </c>
    </row>
    <row r="7" spans="1:18" ht="16" thickBot="1" x14ac:dyDescent="0.4">
      <c r="D7" s="1" t="s">
        <v>120</v>
      </c>
      <c r="E7" s="208">
        <v>0.12</v>
      </c>
      <c r="H7" s="36"/>
      <c r="I7" s="36">
        <v>0.105</v>
      </c>
      <c r="J7" s="36">
        <v>0.09</v>
      </c>
      <c r="K7" s="36">
        <v>0.08</v>
      </c>
      <c r="L7" s="36">
        <v>7.0000000000000007E-2</v>
      </c>
      <c r="M7" s="36">
        <v>0.06</v>
      </c>
      <c r="N7" s="36">
        <v>5.5E-2</v>
      </c>
      <c r="O7" s="36">
        <v>0.05</v>
      </c>
      <c r="P7" s="36">
        <v>4.4999999999999998E-2</v>
      </c>
      <c r="Q7" s="36">
        <v>0.04</v>
      </c>
    </row>
    <row r="8" spans="1:18" x14ac:dyDescent="0.35">
      <c r="E8" s="19"/>
      <c r="O8" s="36"/>
    </row>
    <row r="12" spans="1:18" x14ac:dyDescent="0.35">
      <c r="I12" s="192"/>
    </row>
    <row r="13" spans="1:18" x14ac:dyDescent="0.35">
      <c r="H13" s="36"/>
      <c r="I13" s="36"/>
      <c r="J13" s="36"/>
      <c r="K13" s="36"/>
      <c r="L13" s="36"/>
      <c r="M13" s="36"/>
      <c r="N13" s="36"/>
      <c r="O13" s="36"/>
      <c r="P13" s="36"/>
      <c r="Q13" s="36"/>
      <c r="R13" s="36"/>
    </row>
    <row r="14" spans="1:18" x14ac:dyDescent="0.35">
      <c r="H14" s="36"/>
      <c r="I14" s="36"/>
      <c r="J14" s="36"/>
      <c r="K14" s="36"/>
      <c r="L14" s="36"/>
      <c r="M14" s="36"/>
      <c r="N14" s="36"/>
      <c r="O14" s="36"/>
      <c r="P14" s="36"/>
      <c r="Q14" s="36"/>
      <c r="R14" s="36"/>
    </row>
    <row r="15" spans="1:18" x14ac:dyDescent="0.35">
      <c r="H15" s="36"/>
      <c r="I15" s="36"/>
      <c r="J15" s="36"/>
      <c r="K15" s="36"/>
      <c r="L15" s="36"/>
      <c r="M15" s="36"/>
      <c r="N15" s="36"/>
      <c r="O15" s="36"/>
      <c r="P15" s="36"/>
      <c r="Q15" s="36"/>
      <c r="R15" s="36"/>
    </row>
    <row r="16" spans="1:18" x14ac:dyDescent="0.35">
      <c r="H16" s="35"/>
    </row>
    <row r="17" spans="8:8" x14ac:dyDescent="0.35">
      <c r="H17" s="35"/>
    </row>
  </sheetData>
  <pageMargins left="0.7" right="0.7" top="0.75" bottom="0.75" header="0.3" footer="0.3"/>
</worksheet>
</file>

<file path=xl/worksheets/sheet6.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2AF1FDA9-2504-46ED-8C50-E6C8705123FC}">
  <dimension ref="B6:T50"/>
  <sheetViews>
    <sheetView showGridLines="0" zoomScale="70" zoomScaleNormal="70" workbookViewId="0">
      <pane ySplit="9" topLeftCell="A10" activePane="bottomLeft" state="frozen"/>
      <selection activeCell="B1" sqref="B1"/>
      <selection pane="bottomLeft" activeCell="C11" sqref="C11"/>
    </sheetView>
  </sheetViews>
  <sheetFormatPr defaultRowHeight="15.5" x14ac:dyDescent="0.35"/>
  <cols>
    <col min="1" max="1" width="6.08984375" style="1" customWidth="1"/>
    <col min="2" max="2" width="29.26953125" style="1" customWidth="1"/>
    <col min="3" max="11" width="11.1796875" style="1" customWidth="1"/>
    <col min="12" max="17" width="12.1796875" style="1" customWidth="1"/>
    <col min="18" max="18" width="25.453125" style="1" customWidth="1"/>
    <col min="19" max="19" width="8.7265625" style="1"/>
    <col min="20" max="20" width="255.6328125" style="1" customWidth="1"/>
    <col min="21" max="16384" width="8.7265625" style="1"/>
  </cols>
  <sheetData>
    <row r="6" spans="2:20" x14ac:dyDescent="0.35">
      <c r="N6" s="225" t="s">
        <v>375</v>
      </c>
    </row>
    <row r="7" spans="2:20" ht="15.5" customHeight="1" x14ac:dyDescent="0.35">
      <c r="B7" s="313" t="s">
        <v>374</v>
      </c>
      <c r="C7" s="313"/>
      <c r="D7" s="313"/>
      <c r="E7" s="313"/>
      <c r="F7" s="313"/>
      <c r="G7" s="313"/>
      <c r="H7" s="313"/>
      <c r="I7" s="313"/>
      <c r="J7" s="313"/>
      <c r="K7" s="313"/>
      <c r="L7" s="313"/>
      <c r="M7" s="313"/>
      <c r="N7" s="313"/>
      <c r="O7" s="313"/>
      <c r="P7" s="313"/>
      <c r="Q7" s="313"/>
      <c r="R7" s="313"/>
      <c r="T7" s="318" t="s">
        <v>412</v>
      </c>
    </row>
    <row r="8" spans="2:20" x14ac:dyDescent="0.35">
      <c r="B8" s="314" t="s">
        <v>373</v>
      </c>
      <c r="C8" s="239">
        <f>Model!H2</f>
        <v>2021</v>
      </c>
      <c r="D8" s="239">
        <f>Model!I2</f>
        <v>2022</v>
      </c>
      <c r="E8" s="239">
        <f>Model!J2</f>
        <v>2023</v>
      </c>
      <c r="F8" s="239">
        <f>Model!K2</f>
        <v>2024</v>
      </c>
      <c r="G8" s="239">
        <f>Model!L2</f>
        <v>2025</v>
      </c>
      <c r="H8" s="240">
        <f>Model!M2</f>
        <v>2026</v>
      </c>
      <c r="I8" s="240">
        <f>Model!N2</f>
        <v>2027</v>
      </c>
      <c r="J8" s="240">
        <f>Model!O2</f>
        <v>2028</v>
      </c>
      <c r="K8" s="240">
        <f>Model!P2</f>
        <v>2029</v>
      </c>
      <c r="L8" s="240">
        <f>Model!Q2</f>
        <v>2030</v>
      </c>
      <c r="M8" s="240">
        <f>Model!R2</f>
        <v>2031</v>
      </c>
      <c r="N8" s="240">
        <f>Model!S2</f>
        <v>2032</v>
      </c>
      <c r="O8" s="240">
        <f>Model!T2</f>
        <v>2033</v>
      </c>
      <c r="P8" s="240">
        <f>Model!U2</f>
        <v>2034</v>
      </c>
      <c r="Q8" s="240">
        <f>Model!V2</f>
        <v>2035</v>
      </c>
      <c r="R8" s="316" t="s">
        <v>379</v>
      </c>
      <c r="T8" s="318"/>
    </row>
    <row r="9" spans="2:20" ht="16" x14ac:dyDescent="0.35">
      <c r="B9" s="315"/>
      <c r="C9" s="252" t="s">
        <v>376</v>
      </c>
      <c r="D9" s="252" t="s">
        <v>376</v>
      </c>
      <c r="E9" s="252" t="s">
        <v>376</v>
      </c>
      <c r="F9" s="252" t="s">
        <v>376</v>
      </c>
      <c r="G9" s="252" t="s">
        <v>376</v>
      </c>
      <c r="H9" s="253" t="s">
        <v>377</v>
      </c>
      <c r="I9" s="253" t="s">
        <v>378</v>
      </c>
      <c r="J9" s="253" t="s">
        <v>378</v>
      </c>
      <c r="K9" s="253" t="s">
        <v>378</v>
      </c>
      <c r="L9" s="253" t="s">
        <v>378</v>
      </c>
      <c r="M9" s="253" t="s">
        <v>378</v>
      </c>
      <c r="N9" s="253" t="s">
        <v>378</v>
      </c>
      <c r="O9" s="253" t="s">
        <v>378</v>
      </c>
      <c r="P9" s="253" t="s">
        <v>378</v>
      </c>
      <c r="Q9" s="253" t="s">
        <v>378</v>
      </c>
      <c r="R9" s="317"/>
      <c r="T9" s="318"/>
    </row>
    <row r="10" spans="2:20" ht="30.75" customHeight="1" thickBot="1" x14ac:dyDescent="0.4">
      <c r="B10" s="243" t="s">
        <v>380</v>
      </c>
      <c r="C10" s="247"/>
      <c r="D10" s="247"/>
      <c r="E10" s="247"/>
      <c r="F10" s="247"/>
      <c r="G10" s="247"/>
      <c r="H10" s="254"/>
      <c r="I10" s="254"/>
      <c r="J10" s="254"/>
      <c r="K10" s="254"/>
      <c r="L10" s="254"/>
      <c r="M10" s="254"/>
      <c r="N10" s="254"/>
      <c r="O10" s="254"/>
      <c r="P10" s="254"/>
      <c r="Q10" s="254"/>
      <c r="R10" s="226"/>
    </row>
    <row r="11" spans="2:20" ht="30.75" customHeight="1" thickTop="1" thickBot="1" x14ac:dyDescent="0.4">
      <c r="B11" s="244" t="s">
        <v>381</v>
      </c>
      <c r="C11" s="270">
        <f>Model!H$27/Model!H$25</f>
        <v>0.11391175726649878</v>
      </c>
      <c r="D11" s="270">
        <f>Model!I$27/Model!I$25</f>
        <v>9.0147190252977544E-2</v>
      </c>
      <c r="E11" s="270">
        <f>Model!J$27/Model!J$25</f>
        <v>9.4282406306006247E-2</v>
      </c>
      <c r="F11" s="270">
        <f>Model!K$27/Model!K$25</f>
        <v>9.2228975796884063E-2</v>
      </c>
      <c r="G11" s="270">
        <f>Model!L$27/Model!L$25</f>
        <v>8.7649524088804179E-2</v>
      </c>
      <c r="H11" s="271">
        <f>Model!M$27/Model!M$25</f>
        <v>9.5643970742234352E-2</v>
      </c>
      <c r="I11" s="271">
        <f>Model!N$27/Model!N$25</f>
        <v>9.5643970742234255E-2</v>
      </c>
      <c r="J11" s="271">
        <f>Model!O$27/Model!O$25</f>
        <v>9.5643970742234297E-2</v>
      </c>
      <c r="K11" s="271">
        <f>Model!P$27/Model!P$25</f>
        <v>9.5643970742234283E-2</v>
      </c>
      <c r="L11" s="271">
        <f>Model!Q$27/Model!Q$25</f>
        <v>9.5643970742234283E-2</v>
      </c>
      <c r="M11" s="271">
        <f>Model!R$27/Model!R$25</f>
        <v>9.5643970742234311E-2</v>
      </c>
      <c r="N11" s="271">
        <f>Model!S$27/Model!S$25</f>
        <v>9.5643970742234338E-2</v>
      </c>
      <c r="O11" s="271">
        <f>Model!T$27/Model!T$25</f>
        <v>9.5643970742234227E-2</v>
      </c>
      <c r="P11" s="271">
        <f>Model!U$27/Model!U$25</f>
        <v>9.5643970742234227E-2</v>
      </c>
      <c r="Q11" s="271">
        <f>Model!V$27/Model!V$25</f>
        <v>9.5643970742234366E-2</v>
      </c>
      <c r="R11" s="227"/>
      <c r="T11" s="269" t="s">
        <v>413</v>
      </c>
    </row>
    <row r="12" spans="2:20" ht="30.75" customHeight="1" thickTop="1" thickBot="1" x14ac:dyDescent="0.4">
      <c r="B12" s="244" t="s">
        <v>382</v>
      </c>
      <c r="C12" s="270">
        <f>Model!H$31/Model!H$25</f>
        <v>8.0843441730542948E-2</v>
      </c>
      <c r="D12" s="270">
        <f>Model!I$31/Model!I$25</f>
        <v>3.9300891896328453E-2</v>
      </c>
      <c r="E12" s="270">
        <f>Model!J$31/Model!J$25</f>
        <v>4.850042029468208E-2</v>
      </c>
      <c r="F12" s="270">
        <f>Model!K$31/Model!K$25</f>
        <v>5.5495743157432623E-2</v>
      </c>
      <c r="G12" s="270">
        <f>Model!L$31/Model!L$25</f>
        <v>4.4589437500254556E-2</v>
      </c>
      <c r="H12" s="271">
        <f>Model!M$31/Model!M$25</f>
        <v>5.3745986915848316E-2</v>
      </c>
      <c r="I12" s="271">
        <f>Model!N$31/Model!N$25</f>
        <v>5.3745986915848233E-2</v>
      </c>
      <c r="J12" s="271">
        <f>Model!O$31/Model!O$25</f>
        <v>5.3745986915848268E-2</v>
      </c>
      <c r="K12" s="271">
        <f>Model!P$31/Model!P$25</f>
        <v>5.3745986915848261E-2</v>
      </c>
      <c r="L12" s="271">
        <f>Model!Q$31/Model!Q$25</f>
        <v>5.3745986915848254E-2</v>
      </c>
      <c r="M12" s="271">
        <f>Model!R$31/Model!R$25</f>
        <v>5.3745986915848282E-2</v>
      </c>
      <c r="N12" s="271">
        <f>Model!S$31/Model!S$25</f>
        <v>5.3745986915848303E-2</v>
      </c>
      <c r="O12" s="271">
        <f>Model!T$31/Model!T$25</f>
        <v>5.3745986915848198E-2</v>
      </c>
      <c r="P12" s="271">
        <f>Model!U$31/Model!U$25</f>
        <v>5.3745986915848198E-2</v>
      </c>
      <c r="Q12" s="271">
        <f>Model!V$31/Model!V$25</f>
        <v>5.3745986915848344E-2</v>
      </c>
      <c r="R12" s="227"/>
      <c r="T12" s="268" t="s">
        <v>414</v>
      </c>
    </row>
    <row r="13" spans="2:20" ht="30.75" customHeight="1" thickTop="1" thickBot="1" x14ac:dyDescent="0.4">
      <c r="B13" s="244" t="s">
        <v>383</v>
      </c>
      <c r="C13" s="270">
        <f>Model!H$33/Model!H$25</f>
        <v>7.5636251663349141E-2</v>
      </c>
      <c r="D13" s="270">
        <f>Model!I$33/Model!I$25</f>
        <v>3.4900687617414779E-2</v>
      </c>
      <c r="E13" s="270">
        <f>Model!J$33/Model!J$25</f>
        <v>4.4253064979143865E-2</v>
      </c>
      <c r="F13" s="270">
        <f>Model!K$33/Model!K$25</f>
        <v>5.1220608448878692E-2</v>
      </c>
      <c r="G13" s="270">
        <f>Model!L$33/Model!L$25</f>
        <v>3.9765160123651382E-2</v>
      </c>
      <c r="H13" s="271">
        <f>Model!M$33/Model!M$25</f>
        <v>4.99086004506036E-2</v>
      </c>
      <c r="I13" s="271">
        <f>Model!N$33/Model!N$25</f>
        <v>4.9961552022931351E-2</v>
      </c>
      <c r="J13" s="271">
        <f>Model!O$33/Model!O$25</f>
        <v>5.0024189016390844E-2</v>
      </c>
      <c r="K13" s="271">
        <f>Model!P$33/Model!P$25</f>
        <v>4.9233038923033365E-2</v>
      </c>
      <c r="L13" s="271">
        <f>Model!Q$33/Model!Q$25</f>
        <v>4.9461644324135565E-2</v>
      </c>
      <c r="M13" s="271">
        <f>Model!R$33/Model!R$25</f>
        <v>4.96483664993186E-2</v>
      </c>
      <c r="N13" s="271">
        <f>Model!S$33/Model!S$25</f>
        <v>5.0110313242558782E-2</v>
      </c>
      <c r="O13" s="271">
        <f>Model!T$33/Model!T$25</f>
        <v>5.0200980396344685E-2</v>
      </c>
      <c r="P13" s="271">
        <f>Model!U$33/Model!U$25</f>
        <v>5.0284246813878185E-2</v>
      </c>
      <c r="Q13" s="271">
        <f>Model!V$33/Model!V$25</f>
        <v>4.9656824691215407E-2</v>
      </c>
      <c r="R13" s="228"/>
      <c r="T13" s="268" t="s">
        <v>415</v>
      </c>
    </row>
    <row r="14" spans="2:20" ht="30.75" customHeight="1" thickTop="1" thickBot="1" x14ac:dyDescent="0.4">
      <c r="B14" s="244" t="s">
        <v>384</v>
      </c>
      <c r="C14" s="270">
        <f>Model!H$36/Model!H$25</f>
        <v>6.4317614454916364E-2</v>
      </c>
      <c r="D14" s="270">
        <f>Model!I$36/Model!I$25</f>
        <v>2.3724624728692068E-2</v>
      </c>
      <c r="E14" s="270">
        <f>Model!J$36/Model!J$25</f>
        <v>3.4238949421896557E-2</v>
      </c>
      <c r="F14" s="270">
        <f>Model!K$36/Model!K$25</f>
        <v>4.314070837623276E-2</v>
      </c>
      <c r="G14" s="270">
        <f>Model!L$36/Model!L$25</f>
        <v>3.2566417816225372E-2</v>
      </c>
      <c r="H14" s="271">
        <f>Model!M$36/Model!M$25</f>
        <v>4.3025777172044741E-2</v>
      </c>
      <c r="I14" s="271">
        <f>Model!N$36/Model!N$25</f>
        <v>4.3840681907639775E-2</v>
      </c>
      <c r="J14" s="271">
        <f>Model!O$36/Model!O$25</f>
        <v>4.4502495700523087E-2</v>
      </c>
      <c r="K14" s="271">
        <f>Model!P$36/Model!P$25</f>
        <v>4.4204495236321015E-2</v>
      </c>
      <c r="L14" s="271">
        <f>Model!Q$36/Model!Q$25</f>
        <v>4.4836377203321322E-2</v>
      </c>
      <c r="M14" s="271">
        <f>Model!R$36/Model!R$25</f>
        <v>4.5349199027478568E-2</v>
      </c>
      <c r="N14" s="271">
        <f>Model!S$36/Model!S$25</f>
        <v>4.609448669794753E-2</v>
      </c>
      <c r="O14" s="271">
        <f>Model!T$36/Model!T$25</f>
        <v>4.6430470671844935E-2</v>
      </c>
      <c r="P14" s="271">
        <f>Model!U$36/Model!U$25</f>
        <v>4.6725014733493594E-2</v>
      </c>
      <c r="Q14" s="271">
        <f>Model!V$36/Model!V$25</f>
        <v>4.6278171793835234E-2</v>
      </c>
      <c r="R14" s="228"/>
      <c r="T14" s="268" t="s">
        <v>416</v>
      </c>
    </row>
    <row r="15" spans="2:20" ht="30.75" customHeight="1" thickTop="1" thickBot="1" x14ac:dyDescent="0.4">
      <c r="B15" s="244" t="s">
        <v>385</v>
      </c>
      <c r="C15" s="270">
        <f>Model!H15</f>
        <v>0.25978867959370533</v>
      </c>
      <c r="D15" s="270">
        <f>Model!I15</f>
        <v>0.25908129925043244</v>
      </c>
      <c r="E15" s="270">
        <f>Model!J15</f>
        <v>0.26125625347415232</v>
      </c>
      <c r="F15" s="270">
        <f>Model!K15</f>
        <v>0.25343751892906902</v>
      </c>
      <c r="G15" s="270">
        <f>Model!L15</f>
        <v>0.25775387693846924</v>
      </c>
      <c r="H15" s="271">
        <f>Model!M15</f>
        <v>0.25826352563716565</v>
      </c>
      <c r="I15" s="271">
        <f>Model!N15</f>
        <v>0.25826352563716565</v>
      </c>
      <c r="J15" s="271">
        <f>Model!O15</f>
        <v>0.26326352563716565</v>
      </c>
      <c r="K15" s="271">
        <f>Model!P15</f>
        <v>0.26326352563716565</v>
      </c>
      <c r="L15" s="271">
        <f>Model!Q15</f>
        <v>0.26826352563716566</v>
      </c>
      <c r="M15" s="271">
        <f>Model!R15</f>
        <v>0.26826352563716566</v>
      </c>
      <c r="N15" s="271">
        <f>Model!S15</f>
        <v>0.27326352563716566</v>
      </c>
      <c r="O15" s="271">
        <f>Model!T15</f>
        <v>0.27326352563716566</v>
      </c>
      <c r="P15" s="271">
        <f>Model!U15</f>
        <v>0.27826352563716567</v>
      </c>
      <c r="Q15" s="271">
        <f>Model!V15</f>
        <v>0.27826352563716567</v>
      </c>
      <c r="R15" s="228"/>
      <c r="T15" s="268" t="s">
        <v>417</v>
      </c>
    </row>
    <row r="16" spans="2:20" ht="30.75" customHeight="1" thickTop="1" thickBot="1" x14ac:dyDescent="0.4">
      <c r="B16" s="244" t="s">
        <v>386</v>
      </c>
      <c r="C16" s="270">
        <f>Model!H38/Model!H25</f>
        <v>4.7608626321056627E-2</v>
      </c>
      <c r="D16" s="270">
        <f>Model!I38/Model!I25</f>
        <v>1.7578018129753587E-2</v>
      </c>
      <c r="E16" s="270">
        <f>Model!J38/Model!J25</f>
        <v>2.5293809773040871E-2</v>
      </c>
      <c r="F16" s="270">
        <f>Model!K38/Model!K25</f>
        <v>3.2207234280517825E-2</v>
      </c>
      <c r="G16" s="270">
        <f>Model!L38/Model!L25</f>
        <v>2.4172297366095247E-2</v>
      </c>
      <c r="H16" s="271">
        <f>Model!M38/Model!M25</f>
        <v>3.9703719967096859E-2</v>
      </c>
      <c r="I16" s="271">
        <f>Model!N38/Model!N25</f>
        <v>4.0455705208236173E-2</v>
      </c>
      <c r="J16" s="271">
        <f>Model!O38/Model!O25</f>
        <v>4.1066419789821326E-2</v>
      </c>
      <c r="K16" s="271">
        <f>Model!P38/Model!P25</f>
        <v>4.0791428197375863E-2</v>
      </c>
      <c r="L16" s="271">
        <f>Model!Q38/Model!Q25</f>
        <v>4.1374522015059166E-2</v>
      </c>
      <c r="M16" s="271">
        <f>Model!R38/Model!R25</f>
        <v>4.1847748425774281E-2</v>
      </c>
      <c r="N16" s="271">
        <f>Model!S38/Model!S25</f>
        <v>4.2535491795171347E-2</v>
      </c>
      <c r="O16" s="271">
        <f>Model!T38/Model!T25</f>
        <v>4.2845534157909246E-2</v>
      </c>
      <c r="P16" s="271">
        <f>Model!U38/Model!U25</f>
        <v>4.3117336219610711E-2</v>
      </c>
      <c r="Q16" s="271">
        <f>Model!V38/Model!V25</f>
        <v>4.2704994407061256E-2</v>
      </c>
      <c r="R16" s="228"/>
      <c r="T16" s="268" t="s">
        <v>418</v>
      </c>
    </row>
    <row r="17" spans="2:20" ht="30.75" customHeight="1" thickTop="1" x14ac:dyDescent="0.35">
      <c r="B17" s="244"/>
      <c r="C17" s="245"/>
      <c r="D17" s="245"/>
      <c r="E17" s="245"/>
      <c r="F17" s="245"/>
      <c r="G17" s="245"/>
      <c r="H17" s="246"/>
      <c r="I17" s="246"/>
      <c r="J17" s="246"/>
      <c r="K17" s="246"/>
      <c r="L17" s="246"/>
      <c r="M17" s="246"/>
      <c r="N17" s="246"/>
      <c r="O17" s="246"/>
      <c r="P17" s="246"/>
      <c r="Q17" s="246"/>
      <c r="R17" s="228"/>
      <c r="T17" s="273"/>
    </row>
    <row r="18" spans="2:20" ht="30.75" customHeight="1" thickBot="1" x14ac:dyDescent="0.4">
      <c r="B18" s="243" t="s">
        <v>387</v>
      </c>
      <c r="C18" s="260"/>
      <c r="D18" s="260"/>
      <c r="E18" s="260"/>
      <c r="F18" s="260"/>
      <c r="G18" s="260"/>
      <c r="H18" s="257"/>
      <c r="I18" s="257"/>
      <c r="J18" s="257"/>
      <c r="K18" s="257"/>
      <c r="L18" s="257"/>
      <c r="M18" s="257"/>
      <c r="N18" s="257"/>
      <c r="O18" s="257"/>
      <c r="P18" s="257"/>
      <c r="Q18" s="257"/>
      <c r="R18" s="231"/>
      <c r="T18" s="267"/>
    </row>
    <row r="19" spans="2:20" ht="30.75" customHeight="1" thickTop="1" thickBot="1" x14ac:dyDescent="0.4">
      <c r="B19" s="294" t="s">
        <v>388</v>
      </c>
      <c r="C19" s="258"/>
      <c r="D19" s="292">
        <f>Model!I$25/AVERAGE(Model!H$56:I$56)</f>
        <v>2.6107381947124177</v>
      </c>
      <c r="E19" s="292">
        <f>Model!J$25/AVERAGE(Model!I$56:J$56)</f>
        <v>2.9303149167162403</v>
      </c>
      <c r="F19" s="292">
        <f>Model!K$25/AVERAGE(Model!J$56:K$56)</f>
        <v>2.8059068945543064</v>
      </c>
      <c r="G19" s="292">
        <f>Model!L$25/AVERAGE(Model!K$56:L$56)</f>
        <v>2.430787660383336</v>
      </c>
      <c r="H19" s="293">
        <f>Model!M$25/AVERAGE(Model!L$56:M$56)</f>
        <v>2.8551579251212704</v>
      </c>
      <c r="I19" s="293">
        <f>Model!N$25/AVERAGE(Model!M$56:N$56)</f>
        <v>2.8647061704083199</v>
      </c>
      <c r="J19" s="293">
        <f>Model!O$25/AVERAGE(Model!N$56:O$56)</f>
        <v>2.8346384010121053</v>
      </c>
      <c r="K19" s="293">
        <f>Model!P$25/AVERAGE(Model!O$56:P$56)</f>
        <v>2.7825709390324618</v>
      </c>
      <c r="L19" s="293">
        <f>Model!Q$25/AVERAGE(Model!P$56:Q$56)</f>
        <v>2.7112176458396195</v>
      </c>
      <c r="M19" s="293">
        <f>Model!R$25/AVERAGE(Model!Q$56:R$56)</f>
        <v>2.6215640096997768</v>
      </c>
      <c r="N19" s="293">
        <f>Model!S$25/AVERAGE(Model!R$56:S$56)</f>
        <v>2.5280332495670357</v>
      </c>
      <c r="O19" s="293">
        <f>Model!T$25/AVERAGE(Model!S$56:T$56)</f>
        <v>2.4320441963328578</v>
      </c>
      <c r="P19" s="293">
        <f>Model!U$25/AVERAGE(Model!T$56:U$56)</f>
        <v>2.3353123641166986</v>
      </c>
      <c r="Q19" s="293">
        <f>Model!V$25/AVERAGE(Model!U$56:V$56)</f>
        <v>2.2397856772343721</v>
      </c>
      <c r="R19" s="232"/>
      <c r="T19" s="272" t="s">
        <v>419</v>
      </c>
    </row>
    <row r="20" spans="2:20" ht="30.75" customHeight="1" thickTop="1" thickBot="1" x14ac:dyDescent="0.4">
      <c r="B20" s="294" t="s">
        <v>389</v>
      </c>
      <c r="C20" s="262"/>
      <c r="D20" s="270">
        <f>Model!I$36/AVERAGE(Model!H$56:I$56)</f>
        <v>6.1938783934415119E-2</v>
      </c>
      <c r="E20" s="270">
        <f>Model!J$36/AVERAGE(Model!I$56:J$56)</f>
        <v>0.10033090422367638</v>
      </c>
      <c r="F20" s="270">
        <f>Model!K$36/AVERAGE(Model!J$56:K$56)</f>
        <v>0.12104881106882823</v>
      </c>
      <c r="G20" s="270">
        <f>Model!L$36/AVERAGE(Model!K$56:L$56)</f>
        <v>7.9162046570568662E-2</v>
      </c>
      <c r="H20" s="271">
        <f>Model!M$36/AVERAGE(Model!L$56:M$56)</f>
        <v>0.1228453886772654</v>
      </c>
      <c r="I20" s="271">
        <f>Model!N$36/AVERAGE(Model!M$56:N$56)</f>
        <v>0.12559067197572407</v>
      </c>
      <c r="J20" s="271">
        <f>Model!O$36/AVERAGE(Model!N$56:O$56)</f>
        <v>0.12614848325357886</v>
      </c>
      <c r="K20" s="271">
        <f>Model!P$36/AVERAGE(Model!O$56:P$56)</f>
        <v>0.12300214381918576</v>
      </c>
      <c r="L20" s="271">
        <f>Model!Q$36/AVERAGE(Model!P$56:Q$56)</f>
        <v>0.12156117704916604</v>
      </c>
      <c r="M20" s="271">
        <f>Model!R$36/AVERAGE(Model!Q$56:R$56)</f>
        <v>0.11888582803914993</v>
      </c>
      <c r="N20" s="271">
        <f>Model!S$36/AVERAGE(Model!R$56:S$56)</f>
        <v>0.11652839499413679</v>
      </c>
      <c r="O20" s="271">
        <f>Model!T$36/AVERAGE(Model!S$56:T$56)</f>
        <v>0.11292095673046344</v>
      </c>
      <c r="P20" s="271">
        <f>Model!U$36/AVERAGE(Model!T$56:U$56)</f>
        <v>0.1091175046206625</v>
      </c>
      <c r="Q20" s="271">
        <f>Model!V$36/AVERAGE(Model!U$56:V$56)</f>
        <v>0.10365318635242386</v>
      </c>
      <c r="R20" s="228"/>
      <c r="T20" s="272" t="s">
        <v>420</v>
      </c>
    </row>
    <row r="21" spans="2:20" ht="30.75" customHeight="1" thickTop="1" thickBot="1" x14ac:dyDescent="0.4">
      <c r="B21" s="294" t="s">
        <v>390</v>
      </c>
      <c r="C21" s="258"/>
      <c r="D21" s="270">
        <f>Model!I$36/AVERAGE(Model!H$69:I$69)</f>
        <v>0.16724912952019463</v>
      </c>
      <c r="E21" s="270">
        <f>Model!J$36/AVERAGE(Model!I$69:J$69)</f>
        <v>0.3027515216110846</v>
      </c>
      <c r="F21" s="270">
        <f>Model!K$36/AVERAGE(Model!J$69:K$69)</f>
        <v>0.37436647505017179</v>
      </c>
      <c r="G21" s="270">
        <f>Model!L$36/AVERAGE(Model!K$69:L$69)</f>
        <v>0.20046003522340539</v>
      </c>
      <c r="H21" s="271">
        <f>Model!M$36/AVERAGE(Model!L$69:M$69)</f>
        <v>0.26911380005364305</v>
      </c>
      <c r="I21" s="271">
        <f>Model!N$36/AVERAGE(Model!M$69:N$69)</f>
        <v>0.24907793423009328</v>
      </c>
      <c r="J21" s="271">
        <f>Model!O$36/AVERAGE(Model!N$69:O$69)</f>
        <v>0.22994009690151496</v>
      </c>
      <c r="K21" s="271">
        <f>Model!P$36/AVERAGE(Model!O$69:P$69)</f>
        <v>0.20898097764805629</v>
      </c>
      <c r="L21" s="271">
        <f>Model!Q$36/AVERAGE(Model!P$69:Q$69)</f>
        <v>0.19469849505273923</v>
      </c>
      <c r="M21" s="271">
        <f>Model!R$36/AVERAGE(Model!Q$69:R$69)</f>
        <v>0.18109366786529077</v>
      </c>
      <c r="N21" s="271">
        <f>Model!S$36/AVERAGE(Model!R$69:S$69)</f>
        <v>0.17004477485038744</v>
      </c>
      <c r="O21" s="271">
        <f>Model!T$36/AVERAGE(Model!S$69:T$69)</f>
        <v>0.15881984167500338</v>
      </c>
      <c r="P21" s="271">
        <f>Model!U$36/AVERAGE(Model!T$69:U$69)</f>
        <v>0.14868613433643738</v>
      </c>
      <c r="Q21" s="271">
        <f>Model!V$36/AVERAGE(Model!U$69:V$69)</f>
        <v>0.13745450458381772</v>
      </c>
      <c r="R21" s="228"/>
      <c r="T21" s="268" t="s">
        <v>421</v>
      </c>
    </row>
    <row r="22" spans="2:20" ht="30.75" customHeight="1" thickTop="1" thickBot="1" x14ac:dyDescent="0.4">
      <c r="B22" s="244" t="s">
        <v>391</v>
      </c>
      <c r="C22" s="241">
        <f>Model!H$38/Model!H$36</f>
        <v>0.74021132040629467</v>
      </c>
      <c r="D22" s="241">
        <f>Model!I$38/Model!I$36</f>
        <v>0.74091870074956756</v>
      </c>
      <c r="E22" s="241">
        <f>Model!J$38/Model!J$36</f>
        <v>0.73874374652584773</v>
      </c>
      <c r="F22" s="241">
        <f>Model!K$38/Model!K$36</f>
        <v>0.74656248107093104</v>
      </c>
      <c r="G22" s="241">
        <f>Model!L$38/Model!L$36</f>
        <v>0.74224612306153082</v>
      </c>
      <c r="H22" s="242">
        <f>Model!M$38/Model!M$36</f>
        <v>0.92278914122424416</v>
      </c>
      <c r="I22" s="242">
        <f>Model!N$38/Model!N$36</f>
        <v>0.92278914122424427</v>
      </c>
      <c r="J22" s="242">
        <f>Model!O$38/Model!O$36</f>
        <v>0.92278914122424427</v>
      </c>
      <c r="K22" s="242">
        <f>Model!P$38/Model!P$36</f>
        <v>0.92278914122424416</v>
      </c>
      <c r="L22" s="242">
        <f>Model!Q$38/Model!Q$36</f>
        <v>0.92278914122424427</v>
      </c>
      <c r="M22" s="242">
        <f>Model!R$38/Model!R$36</f>
        <v>0.92278914122424427</v>
      </c>
      <c r="N22" s="242">
        <f>Model!S$38/Model!S$36</f>
        <v>0.92278914122424416</v>
      </c>
      <c r="O22" s="242">
        <f>Model!T$38/Model!T$36</f>
        <v>0.92278914122424427</v>
      </c>
      <c r="P22" s="242">
        <f>Model!U$38/Model!U$36</f>
        <v>0.92278914122424416</v>
      </c>
      <c r="Q22" s="242">
        <f>Model!V$38/Model!V$36</f>
        <v>0.92278914122424416</v>
      </c>
      <c r="R22" s="228"/>
      <c r="T22" s="268"/>
    </row>
    <row r="23" spans="2:20" ht="30.75" customHeight="1" thickTop="1" thickBot="1" x14ac:dyDescent="0.4">
      <c r="B23" s="294" t="s">
        <v>392</v>
      </c>
      <c r="C23" s="258"/>
      <c r="D23" s="270">
        <f>Model!I$38/AVERAGE(Model!H$69:I$69)</f>
        <v>0.12391800774559875</v>
      </c>
      <c r="E23" s="270">
        <f>Model!J$38/AVERAGE(Model!I$69:J$69)</f>
        <v>0.22365579334137381</v>
      </c>
      <c r="F23" s="270">
        <f>Model!K$38/AVERAGE(Model!J$69:K$69)</f>
        <v>0.27948796444323504</v>
      </c>
      <c r="G23" s="270">
        <f>Model!L$38/AVERAGE(Model!K$69:L$69)</f>
        <v>0.14879068397335055</v>
      </c>
      <c r="H23" s="271">
        <f>Model!M$38/AVERAGE(Model!L$69:M$69)</f>
        <v>0.24833529244309424</v>
      </c>
      <c r="I23" s="271">
        <f>Model!N$38/AVERAGE(Model!M$69:N$69)</f>
        <v>0.22984641302609657</v>
      </c>
      <c r="J23" s="271">
        <f>Model!O$38/AVERAGE(Model!N$69:O$69)</f>
        <v>0.2121862245527685</v>
      </c>
      <c r="K23" s="271">
        <f>Model!P$38/AVERAGE(Model!O$69:P$69)</f>
        <v>0.19284537689605283</v>
      </c>
      <c r="L23" s="271">
        <f>Model!Q$38/AVERAGE(Model!P$69:Q$69)</f>
        <v>0.17966565704737003</v>
      </c>
      <c r="M23" s="271">
        <f>Model!R$38/AVERAGE(Model!Q$69:R$69)</f>
        <v>0.16711127025056019</v>
      </c>
      <c r="N23" s="271">
        <f>Model!S$38/AVERAGE(Model!R$69:S$69)</f>
        <v>0.15691547175385898</v>
      </c>
      <c r="O23" s="271">
        <f>Model!T$38/AVERAGE(Model!S$69:T$69)</f>
        <v>0.14655722530864679</v>
      </c>
      <c r="P23" s="271">
        <f>Model!U$38/AVERAGE(Model!T$69:U$69)</f>
        <v>0.13720595021627366</v>
      </c>
      <c r="Q23" s="271">
        <f>Model!V$38/AVERAGE(Model!U$69:V$69)</f>
        <v>0.1268415242423051</v>
      </c>
      <c r="R23" s="228"/>
      <c r="T23" s="268" t="s">
        <v>422</v>
      </c>
    </row>
    <row r="24" spans="2:20" ht="30.75" customHeight="1" thickTop="1" thickBot="1" x14ac:dyDescent="0.4">
      <c r="B24" s="244" t="s">
        <v>393</v>
      </c>
      <c r="C24" s="263">
        <f>(Model!H$38-Model!H$96)/Model!H$38</f>
        <v>1.0950740338638516</v>
      </c>
      <c r="D24" s="263">
        <f>(Model!I$38-Model!I$96)/Model!I$38</f>
        <v>1.3203631647211413</v>
      </c>
      <c r="E24" s="263">
        <f>(Model!J$38-Model!J$96)/Model!J$38</f>
        <v>1.1892400300978179</v>
      </c>
      <c r="F24" s="263">
        <f>(Model!K$38-Model!K$96)/Model!K$38</f>
        <v>1.1558620689655172</v>
      </c>
      <c r="G24" s="263">
        <f>(Model!L$38-Model!L$96)/Model!L$38</f>
        <v>1.1386689132266217</v>
      </c>
      <c r="H24" s="264">
        <f>(Model!M$38-Model!M$96)/Model!M$38</f>
        <v>1.17984164217499</v>
      </c>
      <c r="I24" s="264">
        <f>(Model!N$38-Model!N$96)/Model!N$38</f>
        <v>1.17984164217499</v>
      </c>
      <c r="J24" s="264">
        <f>(Model!O$38-Model!O$96)/Model!O$38</f>
        <v>1.17984164217499</v>
      </c>
      <c r="K24" s="264">
        <f>(Model!P$38-Model!P$96)/Model!P$38</f>
        <v>1.17984164217499</v>
      </c>
      <c r="L24" s="264">
        <f>(Model!Q$38-Model!Q$96)/Model!Q$38</f>
        <v>1.17984164217499</v>
      </c>
      <c r="M24" s="264">
        <f>(Model!R$38-Model!R$96)/Model!R$38</f>
        <v>1.17984164217499</v>
      </c>
      <c r="N24" s="264">
        <f>(Model!S$38-Model!S$96)/Model!S$38</f>
        <v>1.17984164217499</v>
      </c>
      <c r="O24" s="264">
        <f>(Model!T$38-Model!T$96)/Model!T$38</f>
        <v>1.17984164217499</v>
      </c>
      <c r="P24" s="264">
        <f>(Model!U$38-Model!U$96)/Model!U$38</f>
        <v>1.17984164217499</v>
      </c>
      <c r="Q24" s="264">
        <f>(Model!V$38-Model!V$96)/Model!V$38</f>
        <v>1.17984164217499</v>
      </c>
      <c r="R24" s="228"/>
      <c r="T24" s="268" t="s">
        <v>423</v>
      </c>
    </row>
    <row r="25" spans="2:20" ht="30.75" customHeight="1" thickTop="1" x14ac:dyDescent="0.35">
      <c r="B25" s="294" t="s">
        <v>394</v>
      </c>
      <c r="C25" s="258"/>
      <c r="D25" s="270">
        <f>(Model!I$38-Model!I$96)/AVERAGE(Model!H$69:I$69)</f>
        <v>0.16361677287291768</v>
      </c>
      <c r="E25" s="270">
        <f>(Model!J$38-Model!J$96)/AVERAGE(Model!I$69:J$69)</f>
        <v>0.26598042240484671</v>
      </c>
      <c r="F25" s="270">
        <f>(Model!K$38-Model!K$96)/AVERAGE(Model!J$69:K$69)</f>
        <v>0.32304953683231857</v>
      </c>
      <c r="G25" s="270">
        <f>(Model!L$38-Model!L$96)/AVERAGE(Model!K$69:L$69)</f>
        <v>0.16942332641818078</v>
      </c>
      <c r="H25" s="271">
        <f>(Model!M$38-Model!M$96)/AVERAGE(Model!L$69:M$69)</f>
        <v>0.29299631924606667</v>
      </c>
      <c r="I25" s="271">
        <f>(Model!N$38-Model!N$96)/AVERAGE(Model!M$69:N$69)</f>
        <v>0.27118236939274076</v>
      </c>
      <c r="J25" s="271">
        <f>(Model!O$38-Model!O$96)/AVERAGE(Model!N$69:O$69)</f>
        <v>0.25034614362324958</v>
      </c>
      <c r="K25" s="271">
        <f>(Model!P$38-Model!P$96)/AVERAGE(Model!O$69:P$69)</f>
        <v>0.22752700616289384</v>
      </c>
      <c r="L25" s="271">
        <f>(Model!Q$38-Model!Q$96)/AVERAGE(Model!P$69:Q$69)</f>
        <v>0.21197702385321762</v>
      </c>
      <c r="M25" s="271">
        <f>(Model!R$38-Model!R$96)/AVERAGE(Model!Q$69:R$69)</f>
        <v>0.1971648355183695</v>
      </c>
      <c r="N25" s="271">
        <f>(Model!S$38-Model!S$96)/AVERAGE(Model!R$69:S$69)</f>
        <v>0.18513540787673624</v>
      </c>
      <c r="O25" s="271">
        <f>(Model!T$38-Model!T$96)/AVERAGE(Model!S$69:T$69)</f>
        <v>0.17291431738076385</v>
      </c>
      <c r="P25" s="271">
        <f>(Model!U$38-Model!U$96)/AVERAGE(Model!T$69:U$69)</f>
        <v>0.16188129361934825</v>
      </c>
      <c r="Q25" s="271">
        <f>(Model!V$38-Model!V$96)/AVERAGE(Model!U$69:V$69)</f>
        <v>0.14965291225802005</v>
      </c>
      <c r="R25" s="228"/>
      <c r="T25" s="273" t="s">
        <v>424</v>
      </c>
    </row>
    <row r="26" spans="2:20" ht="30.75" customHeight="1" x14ac:dyDescent="0.35">
      <c r="B26" s="244"/>
      <c r="C26" s="250"/>
      <c r="D26" s="250"/>
      <c r="E26" s="250"/>
      <c r="F26" s="250"/>
      <c r="G26" s="250"/>
      <c r="H26" s="251"/>
      <c r="I26" s="251"/>
      <c r="J26" s="251"/>
      <c r="K26" s="251"/>
      <c r="L26" s="251"/>
      <c r="M26" s="251"/>
      <c r="N26" s="251"/>
      <c r="O26" s="251"/>
      <c r="P26" s="251"/>
      <c r="Q26" s="251"/>
      <c r="R26" s="228"/>
    </row>
    <row r="27" spans="2:20" ht="30.75" customHeight="1" thickBot="1" x14ac:dyDescent="0.4">
      <c r="B27" s="243" t="s">
        <v>395</v>
      </c>
      <c r="C27" s="247"/>
      <c r="D27" s="245"/>
      <c r="E27" s="245"/>
      <c r="F27" s="245"/>
      <c r="G27" s="245"/>
      <c r="H27" s="246"/>
      <c r="I27" s="246"/>
      <c r="J27" s="246"/>
      <c r="K27" s="246"/>
      <c r="L27" s="246"/>
      <c r="M27" s="246"/>
      <c r="N27" s="246"/>
      <c r="O27" s="246"/>
      <c r="P27" s="246"/>
      <c r="Q27" s="246"/>
      <c r="R27" s="231"/>
      <c r="T27" s="267"/>
    </row>
    <row r="28" spans="2:20" ht="30.75" customHeight="1" thickTop="1" thickBot="1" x14ac:dyDescent="0.4">
      <c r="B28" s="244" t="s">
        <v>396</v>
      </c>
      <c r="C28" s="241">
        <f>(SUM(Model!H$45:H$49)-Model!H$48)/(SUM(Model!H$60:H$61))</f>
        <v>0.16527369800642841</v>
      </c>
      <c r="D28" s="241">
        <f>(SUM(Model!I$45:I$49)-Model!I$48)/(SUM(Model!I$60:I$61))</f>
        <v>0.30137241507793577</v>
      </c>
      <c r="E28" s="241">
        <f>(SUM(Model!J$45:J$49)-Model!J$48)/(SUM(Model!J$60:J$61))</f>
        <v>0.44194560669456068</v>
      </c>
      <c r="F28" s="241">
        <f>(SUM(Model!K$45:K$49)-Model!K$48)/(SUM(Model!K$60:K$61))</f>
        <v>0.25662280701754386</v>
      </c>
      <c r="G28" s="241">
        <f>(SUM(Model!L$45:L$49)-Model!L$48)/(SUM(Model!L$60:L$61))</f>
        <v>0.51588793547800249</v>
      </c>
      <c r="H28" s="242">
        <f>(SUM(Model!M$45:M$49)-Model!M$48)/(SUM(Model!M$60:M$61))</f>
        <v>-0.1327034894092636</v>
      </c>
      <c r="I28" s="242">
        <f>(SUM(Model!N$45:N$49)-Model!N$48)/(SUM(Model!N$60:N$61))</f>
        <v>-0.14480978537674558</v>
      </c>
      <c r="J28" s="242">
        <f>(SUM(Model!O$45:O$49)-Model!O$48)/(SUM(Model!O$60:O$61))</f>
        <v>-8.8161996254964056E-2</v>
      </c>
      <c r="K28" s="242">
        <f>(SUM(Model!P$45:P$49)-Model!P$48)/(SUM(Model!P$60:P$61))</f>
        <v>2.8161386836325603E-2</v>
      </c>
      <c r="L28" s="242">
        <f>(SUM(Model!Q$45:Q$49)-Model!Q$48)/(SUM(Model!Q$60:Q$61))</f>
        <v>0.20558682477257162</v>
      </c>
      <c r="M28" s="242">
        <f>(SUM(Model!R$45:R$49)-Model!R$48)/(SUM(Model!R$60:R$61))</f>
        <v>0.44829961211373853</v>
      </c>
      <c r="N28" s="242">
        <f>(SUM(Model!S$45:S$49)-Model!S$48)/(SUM(Model!S$60:S$61))</f>
        <v>0.73354690638156472</v>
      </c>
      <c r="O28" s="242">
        <f>(SUM(Model!T$45:T$49)-Model!T$48)/(SUM(Model!T$60:T$61))</f>
        <v>1.064334546822431</v>
      </c>
      <c r="P28" s="242">
        <f>(SUM(Model!U$45:U$49)-Model!U$48)/(SUM(Model!U$60:U$61))</f>
        <v>1.4418892059419586</v>
      </c>
      <c r="Q28" s="242">
        <f>(SUM(Model!V$45:V$49)-Model!V$48)/(SUM(Model!V$60:V$61))</f>
        <v>1.8704178601050663</v>
      </c>
      <c r="R28" s="232"/>
      <c r="T28" s="272" t="s">
        <v>425</v>
      </c>
    </row>
    <row r="29" spans="2:20" ht="30.75" customHeight="1" thickTop="1" thickBot="1" x14ac:dyDescent="0.4">
      <c r="B29" s="244" t="s">
        <v>397</v>
      </c>
      <c r="C29" s="241">
        <f>(SUM(Model!H$45:H$49))/(SUM(Model!H$60:H$61))</f>
        <v>3.4658478654534624</v>
      </c>
      <c r="D29" s="241">
        <f>(SUM(Model!I$45:I$49))/(SUM(Model!I$60:I$61))</f>
        <v>4.9590138483512387</v>
      </c>
      <c r="E29" s="241">
        <f>(SUM(Model!J$45:J$49))/(SUM(Model!J$60:J$61))</f>
        <v>3.8671199442119946</v>
      </c>
      <c r="F29" s="241">
        <f>(SUM(Model!K$45:K$49))/(SUM(Model!K$60:K$61))</f>
        <v>2.8645833333333335</v>
      </c>
      <c r="G29" s="241">
        <f>(SUM(Model!L$45:L$49))/(SUM(Model!L$60:L$61))</f>
        <v>3.5154482884084777</v>
      </c>
      <c r="H29" s="242">
        <f>(SUM(Model!M$45:M$49))/(SUM(Model!M$60:M$61))</f>
        <v>3.8271341473744687</v>
      </c>
      <c r="I29" s="242">
        <f>(SUM(Model!N$45:N$49))/(SUM(Model!N$60:N$61))</f>
        <v>4.2021097654624091</v>
      </c>
      <c r="J29" s="242">
        <f>(SUM(Model!O$45:O$49))/(SUM(Model!O$60:O$61))</f>
        <v>4.6207258747012023</v>
      </c>
      <c r="K29" s="242">
        <f>(SUM(Model!P$45:P$49))/(SUM(Model!P$60:P$61))</f>
        <v>5.0835183588776722</v>
      </c>
      <c r="L29" s="242">
        <f>(SUM(Model!Q$45:Q$49))/(SUM(Model!Q$60:Q$61))</f>
        <v>5.5845913636138027</v>
      </c>
      <c r="M29" s="242">
        <f>(SUM(Model!R$45:R$49))/(SUM(Model!R$60:R$61))</f>
        <v>6.1209714038943073</v>
      </c>
      <c r="N29" s="242">
        <f>(SUM(Model!S$45:S$49))/(SUM(Model!S$60:S$61))</f>
        <v>6.6887107985128651</v>
      </c>
      <c r="O29" s="242">
        <f>(SUM(Model!T$45:T$49))/(SUM(Model!T$60:T$61))</f>
        <v>7.2878295388642069</v>
      </c>
      <c r="P29" s="242">
        <f>(SUM(Model!U$45:U$49))/(SUM(Model!U$60:U$61))</f>
        <v>7.9166463018658444</v>
      </c>
      <c r="Q29" s="242">
        <f>(SUM(Model!V$45:V$49))/(SUM(Model!V$60:V$61))</f>
        <v>8.5765844228256878</v>
      </c>
      <c r="R29" s="228"/>
      <c r="T29" s="272" t="s">
        <v>426</v>
      </c>
    </row>
    <row r="30" spans="2:20" ht="30.75" customHeight="1" thickTop="1" thickBot="1" x14ac:dyDescent="0.4">
      <c r="B30" s="244" t="s">
        <v>398</v>
      </c>
      <c r="C30" s="265">
        <f>Model!H$18+Model!H$17-Model!H$19</f>
        <v>144.7412693113522</v>
      </c>
      <c r="D30" s="265">
        <f>Model!I$18+Model!I$17-Model!I$19</f>
        <v>136.30423891286927</v>
      </c>
      <c r="E30" s="265">
        <f>Model!J$18+Model!J$17-Model!J$19</f>
        <v>123.4686762050431</v>
      </c>
      <c r="F30" s="265">
        <f>Model!K$18+Model!K$17-Model!K$19</f>
        <v>123.56553069961006</v>
      </c>
      <c r="G30" s="265">
        <f>Model!L$18+Model!L$17-Model!L$19</f>
        <v>159.20578865174429</v>
      </c>
      <c r="H30" s="266">
        <f>Model!M$18+Model!M$17-Model!M$19</f>
        <v>137.45710075612376</v>
      </c>
      <c r="I30" s="266">
        <f>Model!N$18+Model!N$17-Model!N$19</f>
        <v>137.45710075612376</v>
      </c>
      <c r="J30" s="266">
        <f>Model!O$18+Model!O$17-Model!O$19</f>
        <v>137.45710075612376</v>
      </c>
      <c r="K30" s="266">
        <f>Model!P$18+Model!P$17-Model!P$19</f>
        <v>137.45710075612376</v>
      </c>
      <c r="L30" s="266">
        <f>Model!Q$18+Model!Q$17-Model!Q$19</f>
        <v>137.45710075612376</v>
      </c>
      <c r="M30" s="266">
        <f>Model!R$18+Model!R$17-Model!R$19</f>
        <v>137.45710075612376</v>
      </c>
      <c r="N30" s="266">
        <f>Model!S$18+Model!S$17-Model!S$19</f>
        <v>137.45710075612376</v>
      </c>
      <c r="O30" s="266">
        <f>Model!T$18+Model!T$17-Model!T$19</f>
        <v>137.45710075612376</v>
      </c>
      <c r="P30" s="266">
        <f>Model!U$18+Model!U$17-Model!U$19</f>
        <v>137.45710075612376</v>
      </c>
      <c r="Q30" s="266">
        <f>Model!V$18+Model!V$17-Model!V$19</f>
        <v>137.45710075612376</v>
      </c>
      <c r="R30" s="228"/>
      <c r="T30" s="272" t="s">
        <v>427</v>
      </c>
    </row>
    <row r="31" spans="2:20" ht="30.75" customHeight="1" thickTop="1" thickBot="1" x14ac:dyDescent="0.4">
      <c r="B31" s="244"/>
      <c r="C31" s="248"/>
      <c r="D31" s="248"/>
      <c r="E31" s="248"/>
      <c r="F31" s="248"/>
      <c r="G31" s="248"/>
      <c r="H31" s="249"/>
      <c r="I31" s="249"/>
      <c r="J31" s="249"/>
      <c r="K31" s="249"/>
      <c r="L31" s="249"/>
      <c r="M31" s="249"/>
      <c r="N31" s="249"/>
      <c r="O31" s="249"/>
      <c r="P31" s="249"/>
      <c r="Q31" s="249"/>
      <c r="R31" s="228"/>
      <c r="T31" s="268"/>
    </row>
    <row r="32" spans="2:20" ht="30.75" customHeight="1" thickTop="1" thickBot="1" x14ac:dyDescent="0.4">
      <c r="B32" s="243" t="s">
        <v>399</v>
      </c>
      <c r="C32" s="250"/>
      <c r="D32" s="250"/>
      <c r="E32" s="250"/>
      <c r="F32" s="250"/>
      <c r="G32" s="250"/>
      <c r="H32" s="251"/>
      <c r="I32" s="251"/>
      <c r="J32" s="251"/>
      <c r="K32" s="251"/>
      <c r="L32" s="251"/>
      <c r="M32" s="251"/>
      <c r="N32" s="251"/>
      <c r="O32" s="251"/>
      <c r="P32" s="251"/>
      <c r="Q32" s="251"/>
      <c r="R32" s="228"/>
      <c r="T32" s="268"/>
    </row>
    <row r="33" spans="2:20" ht="30.75" customHeight="1" thickTop="1" thickBot="1" x14ac:dyDescent="0.4">
      <c r="B33" s="244" t="s">
        <v>400</v>
      </c>
      <c r="C33" s="241">
        <f>Model!H$56/Model!H$69</f>
        <v>2.6011591873671609</v>
      </c>
      <c r="D33" s="241">
        <f>Model!I$56/Model!I$69</f>
        <v>2.7912542017454589</v>
      </c>
      <c r="E33" s="241">
        <f>Model!J$56/Model!J$69</f>
        <v>3.2062553049203939</v>
      </c>
      <c r="F33" s="241">
        <f>Model!K$56/Model!K$69</f>
        <v>3.0031631453019183</v>
      </c>
      <c r="G33" s="241">
        <f>Model!L$56/Model!L$69</f>
        <v>2.3216038463282986</v>
      </c>
      <c r="H33" s="242">
        <f>Model!M$56/Model!M$69</f>
        <v>2.0839406020293136</v>
      </c>
      <c r="I33" s="242">
        <f>Model!N$56/Model!N$69</f>
        <v>1.8999090599279611</v>
      </c>
      <c r="J33" s="242">
        <f>Model!O$56/Model!O$69</f>
        <v>1.7579867987015241</v>
      </c>
      <c r="K33" s="242">
        <f>Model!P$56/Model!P$69</f>
        <v>1.6486640973011508</v>
      </c>
      <c r="L33" s="242">
        <f>Model!Q$56/Model!Q$69</f>
        <v>1.5610887907946969</v>
      </c>
      <c r="M33" s="242">
        <f>Model!R$56/Model!R$69</f>
        <v>1.4902777749653242</v>
      </c>
      <c r="N33" s="242">
        <f>Model!S$56/Model!S$69</f>
        <v>1.4319854672532242</v>
      </c>
      <c r="O33" s="242">
        <f>Model!T$56/Model!T$69</f>
        <v>1.3838460109897492</v>
      </c>
      <c r="P33" s="242">
        <f>Model!U$56/Model!U$69</f>
        <v>1.3436629682869814</v>
      </c>
      <c r="Q33" s="242">
        <f>Model!V$56/Model!V$69</f>
        <v>1.3102740327253473</v>
      </c>
      <c r="R33" s="228"/>
      <c r="T33" s="274" t="s">
        <v>428</v>
      </c>
    </row>
    <row r="34" spans="2:20" ht="30.75" customHeight="1" thickTop="1" thickBot="1" x14ac:dyDescent="0.4">
      <c r="B34" s="244" t="s">
        <v>325</v>
      </c>
      <c r="C34" s="241">
        <f>Model!H$63/Model!H$69</f>
        <v>0.94089802615237339</v>
      </c>
      <c r="D34" s="241">
        <f>Model!I$63/Model!I$69</f>
        <v>1.2946618558608567</v>
      </c>
      <c r="E34" s="241">
        <f>Model!J$63/Model!J$69</f>
        <v>1.4685820108541887</v>
      </c>
      <c r="F34" s="241">
        <f>Model!K$63/Model!K$69</f>
        <v>1.0785514416643012</v>
      </c>
      <c r="G34" s="241">
        <f>Model!L$63/Model!L$69</f>
        <v>0.72322765002041089</v>
      </c>
      <c r="H34" s="242">
        <f>Model!M$63/Model!M$69</f>
        <v>0.58953923444529899</v>
      </c>
      <c r="I34" s="242">
        <f>Model!N$63/Model!N$69</f>
        <v>0.48797763581023196</v>
      </c>
      <c r="J34" s="242">
        <f>Model!O$63/Model!O$69</f>
        <v>0.40985443656108861</v>
      </c>
      <c r="K34" s="242">
        <f>Model!P$63/Model!P$69</f>
        <v>0.34978103968360746</v>
      </c>
      <c r="L34" s="242">
        <f>Model!Q$63/Model!Q$69</f>
        <v>0.30177616496242421</v>
      </c>
      <c r="M34" s="242">
        <f>Model!R$63/Model!R$69</f>
        <v>0.2630680397753416</v>
      </c>
      <c r="N34" s="242">
        <f>Model!S$63/Model!S$69</f>
        <v>0.23125918621259423</v>
      </c>
      <c r="O34" s="242">
        <f>Model!T$63/Model!T$69</f>
        <v>0.20503771347596914</v>
      </c>
      <c r="P34" s="242">
        <f>Model!U$63/Model!U$69</f>
        <v>0.18319375226411447</v>
      </c>
      <c r="Q34" s="242">
        <f>Model!V$63/Model!V$69</f>
        <v>0.16507835488860498</v>
      </c>
      <c r="R34" s="228"/>
      <c r="T34" s="272" t="s">
        <v>429</v>
      </c>
    </row>
    <row r="35" spans="2:20" ht="30.75" customHeight="1" thickTop="1" thickBot="1" x14ac:dyDescent="0.4">
      <c r="B35" s="244" t="s">
        <v>401</v>
      </c>
      <c r="C35" s="270">
        <f>Model!H$63/(Model!H$63+Model!H$69)</f>
        <v>0.48477458036144483</v>
      </c>
      <c r="D35" s="270">
        <f>Model!I$63/(Model!I$63+Model!I$69)</f>
        <v>0.56420594282949643</v>
      </c>
      <c r="E35" s="270">
        <f>Model!J$63/(Model!J$63+Model!J$69)</f>
        <v>0.59490914395265482</v>
      </c>
      <c r="F35" s="270">
        <f>Model!K$63/(Model!K$63+Model!K$69)</f>
        <v>0.51889571749097652</v>
      </c>
      <c r="G35" s="270">
        <f>Model!L$63/(Model!L$63+Model!L$69)</f>
        <v>0.41969361970941249</v>
      </c>
      <c r="H35" s="271">
        <f>Model!M$63/(Model!M$63+Model!M$69)</f>
        <v>0.37088687191230624</v>
      </c>
      <c r="I35" s="271">
        <f>Model!N$63/(Model!N$63+Model!N$69)</f>
        <v>0.32794688849239251</v>
      </c>
      <c r="J35" s="271">
        <f>Model!O$63/(Model!O$63+Model!O$69)</f>
        <v>0.29070691692172412</v>
      </c>
      <c r="K35" s="271">
        <f>Model!P$63/(Model!P$63+Model!P$69)</f>
        <v>0.25913909693500892</v>
      </c>
      <c r="L35" s="271">
        <f>Model!Q$63/(Model!Q$63+Model!Q$69)</f>
        <v>0.23181878197250216</v>
      </c>
      <c r="M35" s="271">
        <f>Model!R$63/(Model!R$63+Model!R$69)</f>
        <v>0.20827701397791112</v>
      </c>
      <c r="N35" s="271">
        <f>Model!S$63/(Model!S$63+Model!S$69)</f>
        <v>0.18782331843870936</v>
      </c>
      <c r="O35" s="271">
        <f>Model!T$63/(Model!T$63+Model!T$69)</f>
        <v>0.1701504535360403</v>
      </c>
      <c r="P35" s="271">
        <f>Model!U$63/(Model!U$63+Model!U$69)</f>
        <v>0.15482988471969353</v>
      </c>
      <c r="Q35" s="271">
        <f>Model!V$63/(Model!V$63+Model!V$69)</f>
        <v>0.14168862909172181</v>
      </c>
      <c r="R35" s="228"/>
      <c r="T35" s="272" t="s">
        <v>430</v>
      </c>
    </row>
    <row r="36" spans="2:20" ht="30.75" customHeight="1" thickTop="1" thickBot="1" x14ac:dyDescent="0.4">
      <c r="B36" s="244"/>
      <c r="C36" s="250"/>
      <c r="D36" s="250"/>
      <c r="E36" s="250"/>
      <c r="F36" s="250"/>
      <c r="G36" s="250"/>
      <c r="H36" s="251"/>
      <c r="I36" s="251"/>
      <c r="J36" s="251"/>
      <c r="K36" s="251"/>
      <c r="L36" s="251"/>
      <c r="M36" s="251"/>
      <c r="N36" s="251"/>
      <c r="O36" s="251"/>
      <c r="P36" s="251"/>
      <c r="Q36" s="251"/>
      <c r="R36" s="228"/>
      <c r="T36" s="268"/>
    </row>
    <row r="37" spans="2:20" ht="30.75" customHeight="1" thickTop="1" thickBot="1" x14ac:dyDescent="0.4">
      <c r="B37" s="243" t="s">
        <v>402</v>
      </c>
      <c r="C37" s="245"/>
      <c r="D37" s="245"/>
      <c r="E37" s="245"/>
      <c r="F37" s="245"/>
      <c r="G37" s="245"/>
      <c r="H37" s="246"/>
      <c r="I37" s="246"/>
      <c r="J37" s="246"/>
      <c r="K37" s="246"/>
      <c r="L37" s="246"/>
      <c r="M37" s="246"/>
      <c r="N37" s="246"/>
      <c r="O37" s="246"/>
      <c r="P37" s="246"/>
      <c r="Q37" s="246"/>
      <c r="R37" s="228"/>
      <c r="T37" s="268"/>
    </row>
    <row r="38" spans="2:20" ht="30.75" customHeight="1" thickTop="1" thickBot="1" x14ac:dyDescent="0.4">
      <c r="B38" s="294" t="s">
        <v>403</v>
      </c>
      <c r="C38" s="258"/>
      <c r="D38" s="241">
        <f>Model!I$25/AVERAGE(Model!H$47:I$47)</f>
        <v>842.79538074284721</v>
      </c>
      <c r="E38" s="241">
        <f>Model!J$25/AVERAGE(Model!I$47:J$47)</f>
        <v>1088.9637305699482</v>
      </c>
      <c r="F38" s="241">
        <f>Model!K$25/AVERAGE(Model!J$47:K$47)</f>
        <v>1030.0888290713324</v>
      </c>
      <c r="G38" s="241">
        <f>Model!L$25/AVERAGE(Model!K$47:L$47)</f>
        <v>763.69828926905132</v>
      </c>
      <c r="H38" s="242">
        <f>Model!M$25/AVERAGE(Model!L$47:M$47)</f>
        <v>827.32451601536582</v>
      </c>
      <c r="I38" s="242">
        <f>Model!N$25/AVERAGE(Model!M$47:N$47)</f>
        <v>809.37501760851558</v>
      </c>
      <c r="J38" s="242">
        <f>Model!O$25/AVERAGE(Model!N$47:O$47)</f>
        <v>804.11808402513952</v>
      </c>
      <c r="K38" s="242">
        <f>Model!P$25/AVERAGE(Model!O$47:P$47)</f>
        <v>800.57133877097067</v>
      </c>
      <c r="L38" s="242">
        <f>Model!Q$25/AVERAGE(Model!P$47:Q$47)</f>
        <v>796.99032544671343</v>
      </c>
      <c r="M38" s="242">
        <f>Model!R$25/AVERAGE(Model!Q$47:R$47)</f>
        <v>793.37454500280319</v>
      </c>
      <c r="N38" s="242">
        <f>Model!S$25/AVERAGE(Model!R$47:S$47)</f>
        <v>791.55345850185552</v>
      </c>
      <c r="O38" s="242">
        <f>Model!T$25/AVERAGE(Model!S$47:T$47)</f>
        <v>789.72348865212291</v>
      </c>
      <c r="P38" s="242">
        <f>Model!U$25/AVERAGE(Model!T$47:U$47)</f>
        <v>787.88457029456765</v>
      </c>
      <c r="Q38" s="242">
        <f>Model!V$25/AVERAGE(Model!U$47:V$47)</f>
        <v>786.03663763133807</v>
      </c>
      <c r="R38" s="228"/>
      <c r="T38" s="272" t="s">
        <v>431</v>
      </c>
    </row>
    <row r="39" spans="2:20" ht="30.75" customHeight="1" thickTop="1" thickBot="1" x14ac:dyDescent="0.4">
      <c r="B39" s="244" t="s">
        <v>404</v>
      </c>
      <c r="C39" s="241">
        <f>Model!H$17</f>
        <v>0.51867322475283462</v>
      </c>
      <c r="D39" s="241">
        <f>Model!I$17</f>
        <v>0.43605340434457474</v>
      </c>
      <c r="E39" s="241">
        <f>Model!J$17</f>
        <v>0.36702034860668348</v>
      </c>
      <c r="F39" s="241">
        <f>Model!K$17</f>
        <v>0.40632071872435832</v>
      </c>
      <c r="G39" s="241">
        <f>Model!L$17</f>
        <v>0.63923202554484393</v>
      </c>
      <c r="H39" s="242">
        <f>Model!M$17</f>
        <v>0.47345994439465899</v>
      </c>
      <c r="I39" s="242">
        <f>Model!N$17</f>
        <v>0.47345994439465899</v>
      </c>
      <c r="J39" s="242">
        <f>Model!O$17</f>
        <v>0.47345994439465899</v>
      </c>
      <c r="K39" s="242">
        <f>Model!P$17</f>
        <v>0.47345994439465899</v>
      </c>
      <c r="L39" s="242">
        <f>Model!Q$17</f>
        <v>0.47345994439465899</v>
      </c>
      <c r="M39" s="242">
        <f>Model!R$17</f>
        <v>0.47345994439465899</v>
      </c>
      <c r="N39" s="242">
        <f>Model!S$17</f>
        <v>0.47345994439465899</v>
      </c>
      <c r="O39" s="242">
        <f>Model!T$17</f>
        <v>0.47345994439465899</v>
      </c>
      <c r="P39" s="242">
        <f>Model!U$17</f>
        <v>0.47345994439465899</v>
      </c>
      <c r="Q39" s="242">
        <f>Model!V$17</f>
        <v>0.47345994439465899</v>
      </c>
      <c r="R39" s="228"/>
      <c r="T39" s="272" t="s">
        <v>432</v>
      </c>
    </row>
    <row r="40" spans="2:20" ht="30.75" customHeight="1" thickTop="1" thickBot="1" x14ac:dyDescent="0.4">
      <c r="B40" s="294" t="s">
        <v>405</v>
      </c>
      <c r="C40" s="258"/>
      <c r="D40" s="241">
        <f>-Model!I$26/AVERAGE(Model!H$48:I$48)</f>
        <v>2.8520703445316644</v>
      </c>
      <c r="E40" s="241">
        <f>-Model!J$26/AVERAGE(Model!I$48:J$48)</f>
        <v>3.2964510840702856</v>
      </c>
      <c r="F40" s="241">
        <f>-Model!K$26/AVERAGE(Model!J$48:K$48)</f>
        <v>3.199381092941973</v>
      </c>
      <c r="G40" s="241">
        <f>-Model!L$26/AVERAGE(Model!K$48:L$48)</f>
        <v>2.8285687227729022</v>
      </c>
      <c r="H40" s="242">
        <f>-Model!M$26/AVERAGE(Model!L$48:M$48)</f>
        <v>3.0014232079077017</v>
      </c>
      <c r="I40" s="242">
        <f>-Model!N$26/AVERAGE(Model!M$48:N$48)</f>
        <v>2.7530392935304189</v>
      </c>
      <c r="J40" s="242">
        <f>-Model!O$26/AVERAGE(Model!N$48:O$48)</f>
        <v>2.7351581575876809</v>
      </c>
      <c r="K40" s="242">
        <f>-Model!P$26/AVERAGE(Model!O$48:P$48)</f>
        <v>2.7230941219596474</v>
      </c>
      <c r="L40" s="242">
        <f>-Model!Q$26/AVERAGE(Model!P$48:Q$48)</f>
        <v>2.7109135256009087</v>
      </c>
      <c r="M40" s="242">
        <f>-Model!R$26/AVERAGE(Model!Q$48:R$48)</f>
        <v>2.6986146710250951</v>
      </c>
      <c r="N40" s="242">
        <f>-Model!S$26/AVERAGE(Model!R$48:S$48)</f>
        <v>2.6924203574066192</v>
      </c>
      <c r="O40" s="242">
        <f>-Model!T$26/AVERAGE(Model!S$48:T$48)</f>
        <v>2.6861958276241515</v>
      </c>
      <c r="P40" s="242">
        <f>-Model!U$26/AVERAGE(Model!T$48:U$48)</f>
        <v>2.679940860043236</v>
      </c>
      <c r="Q40" s="242">
        <f>-Model!V$26/AVERAGE(Model!U$48:V$48)</f>
        <v>2.6736552308565313</v>
      </c>
      <c r="R40" s="228"/>
      <c r="T40" s="272" t="s">
        <v>433</v>
      </c>
    </row>
    <row r="41" spans="2:20" ht="30.75" customHeight="1" thickTop="1" thickBot="1" x14ac:dyDescent="0.4">
      <c r="B41" s="244" t="s">
        <v>406</v>
      </c>
      <c r="C41" s="259">
        <f>Model!H$18</f>
        <v>147.05257748605021</v>
      </c>
      <c r="D41" s="259">
        <f>Model!I$18</f>
        <v>137.19557177079054</v>
      </c>
      <c r="E41" s="259">
        <f>Model!J$18</f>
        <v>125.57405124469412</v>
      </c>
      <c r="F41" s="259">
        <f>Model!K$18</f>
        <v>124.95363920042374</v>
      </c>
      <c r="G41" s="259">
        <f>Model!L$18</f>
        <v>161.19434083974491</v>
      </c>
      <c r="H41" s="255">
        <f>Model!M$18</f>
        <v>139.1940361083407</v>
      </c>
      <c r="I41" s="255">
        <f>Model!N$18</f>
        <v>139.1940361083407</v>
      </c>
      <c r="J41" s="255">
        <f>Model!O$18</f>
        <v>139.1940361083407</v>
      </c>
      <c r="K41" s="255">
        <f>Model!P$18</f>
        <v>139.1940361083407</v>
      </c>
      <c r="L41" s="255">
        <f>Model!Q$18</f>
        <v>139.1940361083407</v>
      </c>
      <c r="M41" s="255">
        <f>Model!R$18</f>
        <v>139.1940361083407</v>
      </c>
      <c r="N41" s="255">
        <f>Model!S$18</f>
        <v>139.1940361083407</v>
      </c>
      <c r="O41" s="255">
        <f>Model!T$18</f>
        <v>139.1940361083407</v>
      </c>
      <c r="P41" s="255">
        <f>Model!U$18</f>
        <v>139.1940361083407</v>
      </c>
      <c r="Q41" s="255">
        <f>Model!V$18</f>
        <v>139.1940361083407</v>
      </c>
      <c r="R41" s="228"/>
      <c r="T41" s="272" t="s">
        <v>434</v>
      </c>
    </row>
    <row r="42" spans="2:20" ht="30.75" customHeight="1" thickTop="1" thickBot="1" x14ac:dyDescent="0.4">
      <c r="B42" s="294" t="s">
        <v>407</v>
      </c>
      <c r="C42" s="258"/>
      <c r="D42" s="241">
        <f>-(Model!I$26)/AVERAGE(Model!H$60:I$60)</f>
        <v>197.0735946982978</v>
      </c>
      <c r="E42" s="241">
        <f>-(Model!J$26)/AVERAGE(Model!I$60:J$60)</f>
        <v>209.41107444077741</v>
      </c>
      <c r="F42" s="241">
        <f>-(Model!K$26)/AVERAGE(Model!J$60:K$60)</f>
        <v>186.06534547402251</v>
      </c>
      <c r="G42" s="241">
        <f>-(Model!L$26)/AVERAGE(Model!K$60:L$60)</f>
        <v>177.15183867141164</v>
      </c>
      <c r="H42" s="255">
        <f>-(Model!M$26)/AVERAGE(Model!L$60:M$60)</f>
        <v>184.85409320668765</v>
      </c>
      <c r="I42" s="255">
        <f>-(Model!N$26)/AVERAGE(Model!M$60:N$60)</f>
        <v>173.3656651454107</v>
      </c>
      <c r="J42" s="255">
        <f>-(Model!O$26)/AVERAGE(Model!N$60:O$60)</f>
        <v>172.23964597323504</v>
      </c>
      <c r="K42" s="255">
        <f>-(Model!P$26)/AVERAGE(Model!O$60:P$60)</f>
        <v>171.47994393559725</v>
      </c>
      <c r="L42" s="255">
        <f>-(Model!Q$26)/AVERAGE(Model!P$60:Q$60)</f>
        <v>170.71290178165378</v>
      </c>
      <c r="M42" s="255">
        <f>-(Model!R$26)/AVERAGE(Model!Q$60:R$60)</f>
        <v>169.93841261650701</v>
      </c>
      <c r="N42" s="255">
        <f>-(Model!S$26)/AVERAGE(Model!R$60:S$60)</f>
        <v>169.5483414311411</v>
      </c>
      <c r="O42" s="255">
        <f>-(Model!T$26)/AVERAGE(Model!S$60:T$60)</f>
        <v>169.15636745950516</v>
      </c>
      <c r="P42" s="255">
        <f>-(Model!U$26)/AVERAGE(Model!T$60:U$60)</f>
        <v>168.76247674473157</v>
      </c>
      <c r="Q42" s="255">
        <f>-(Model!V$26)/AVERAGE(Model!U$60:V$60)</f>
        <v>168.36665519312089</v>
      </c>
      <c r="R42" s="228"/>
      <c r="T42" s="272" t="s">
        <v>435</v>
      </c>
    </row>
    <row r="43" spans="2:20" ht="30.75" customHeight="1" thickTop="1" thickBot="1" x14ac:dyDescent="0.4">
      <c r="B43" s="244" t="s">
        <v>408</v>
      </c>
      <c r="C43" s="259">
        <f>Model!H$19</f>
        <v>2.8299813994508574</v>
      </c>
      <c r="D43" s="259">
        <f>Model!I$19</f>
        <v>1.3273862622658341</v>
      </c>
      <c r="E43" s="259">
        <f>Model!J$19</f>
        <v>2.4723953882577083</v>
      </c>
      <c r="F43" s="259">
        <f>Model!K$19</f>
        <v>1.7944292195380329</v>
      </c>
      <c r="G43" s="259">
        <f>Model!L$19</f>
        <v>2.6277842135454681</v>
      </c>
      <c r="H43" s="255">
        <f>Model!M$19</f>
        <v>2.2103952966115799</v>
      </c>
      <c r="I43" s="255">
        <f>Model!N$19</f>
        <v>2.2103952966115799</v>
      </c>
      <c r="J43" s="255">
        <f>Model!O$19</f>
        <v>2.2103952966115799</v>
      </c>
      <c r="K43" s="255">
        <f>Model!P$19</f>
        <v>2.2103952966115799</v>
      </c>
      <c r="L43" s="255">
        <f>Model!Q$19</f>
        <v>2.2103952966115799</v>
      </c>
      <c r="M43" s="255">
        <f>Model!R$19</f>
        <v>2.2103952966115799</v>
      </c>
      <c r="N43" s="255">
        <f>Model!S$19</f>
        <v>2.2103952966115799</v>
      </c>
      <c r="O43" s="255">
        <f>Model!T$19</f>
        <v>2.2103952966115799</v>
      </c>
      <c r="P43" s="255">
        <f>Model!U$19</f>
        <v>2.2103952966115799</v>
      </c>
      <c r="Q43" s="255">
        <f>Model!V$19</f>
        <v>2.2103952966115799</v>
      </c>
      <c r="R43" s="228"/>
      <c r="T43" s="272" t="s">
        <v>436</v>
      </c>
    </row>
    <row r="44" spans="2:20" ht="30.75" customHeight="1" thickTop="1" thickBot="1" x14ac:dyDescent="0.4">
      <c r="B44" s="294" t="s">
        <v>409</v>
      </c>
      <c r="C44" s="258"/>
      <c r="D44" s="259">
        <f>Model!I$25/AVERAGE(Model!H$52:I$52)</f>
        <v>25.449129417389369</v>
      </c>
      <c r="E44" s="259">
        <f>Model!J$25/AVERAGE(Model!I$52:J$52)</f>
        <v>29.600018778461106</v>
      </c>
      <c r="F44" s="259">
        <f>Model!K$25/AVERAGE(Model!J$52:K$52)</f>
        <v>27.568474893739644</v>
      </c>
      <c r="G44" s="259">
        <f>Model!L$25/AVERAGE(Model!K$52:L$52)</f>
        <v>26.704625173342034</v>
      </c>
      <c r="H44" s="255">
        <f>Model!M$25/AVERAGE(Model!L$52:M$52)</f>
        <v>34.675033090979419</v>
      </c>
      <c r="I44" s="255">
        <f>Model!N$25/AVERAGE(Model!M$52:N$52)</f>
        <v>35.46214440715783</v>
      </c>
      <c r="J44" s="255">
        <f>Model!O$25/AVERAGE(Model!N$52:O$52)</f>
        <v>36.289798776182828</v>
      </c>
      <c r="K44" s="255">
        <f>Model!P$25/AVERAGE(Model!O$52:P$52)</f>
        <v>37.80640915544177</v>
      </c>
      <c r="L44" s="255">
        <f>Model!Q$25/AVERAGE(Model!P$52:Q$52)</f>
        <v>39.863169448298507</v>
      </c>
      <c r="M44" s="255">
        <f>Model!R$25/AVERAGE(Model!Q$52:R$52)</f>
        <v>41.713082626641622</v>
      </c>
      <c r="N44" s="255">
        <f>Model!S$25/AVERAGE(Model!R$52:S$52)</f>
        <v>43.227586144833829</v>
      </c>
      <c r="O44" s="255">
        <f>Model!T$25/AVERAGE(Model!S$52:T$52)</f>
        <v>44.406906591056206</v>
      </c>
      <c r="P44" s="255">
        <f>Model!U$25/AVERAGE(Model!T$52:U$52)</f>
        <v>45.536305515368831</v>
      </c>
      <c r="Q44" s="255">
        <f>Model!V$25/AVERAGE(Model!U$52:V$52)</f>
        <v>47.357325673113728</v>
      </c>
      <c r="R44" s="228"/>
      <c r="T44" s="272" t="s">
        <v>437</v>
      </c>
    </row>
    <row r="45" spans="2:20" ht="30.75" customHeight="1" thickTop="1" thickBot="1" x14ac:dyDescent="0.4">
      <c r="B45" s="244" t="s">
        <v>410</v>
      </c>
      <c r="C45" s="259"/>
      <c r="D45" s="260"/>
      <c r="E45" s="261">
        <f>AVERAGE(Model!J$44-Model!J$59,Model!I$44-Model!I$59)/Model!I$25-AVERAGE(Model!I$44-Model!I$59,Model!H$44-Model!H$59)/Model!H$25</f>
        <v>2.4192888169039084E-2</v>
      </c>
      <c r="F45" s="261">
        <f>AVERAGE(Model!K$44-Model!K$59,Model!J$44-Model!J$59)/Model!J$25-AVERAGE(Model!J$44-Model!J$59,Model!I$44-Model!I$59)/Model!I$25</f>
        <v>-6.7554076999670032E-2</v>
      </c>
      <c r="G45" s="261">
        <f>AVERAGE(Model!L$44-Model!L$59,Model!K$44-Model!K$59)/Model!K$25-AVERAGE(Model!K$44-Model!K$59,Model!J$44-Model!J$59)/Model!J$25</f>
        <v>6.2617524870538399E-2</v>
      </c>
      <c r="H45" s="256">
        <f>AVERAGE(Model!M$44-Model!M$59,Model!L$44-Model!L$59)/Model!L$25-AVERAGE(Model!L$44-Model!L$59,Model!K$44-Model!K$59)/Model!K$25</f>
        <v>3.3522146251552198E-2</v>
      </c>
      <c r="I45" s="256">
        <f>AVERAGE(Model!N$44-Model!N$59,Model!M$44-Model!M$59)/Model!M$25-AVERAGE(Model!M$44-Model!M$59,Model!L$44-Model!L$59)/Model!L$25</f>
        <v>-9.7930339847454528E-2</v>
      </c>
      <c r="J45" s="256">
        <f>AVERAGE(Model!O$44-Model!O$59,Model!N$44-Model!N$59)/Model!N$25-AVERAGE(Model!N$44-Model!N$59,Model!M$44-Model!M$59)/Model!M$25</f>
        <v>8.0729764357861944E-3</v>
      </c>
      <c r="K45" s="256">
        <f>AVERAGE(Model!P$44-Model!P$59,Model!O$44-Model!O$59)/Model!O$25-AVERAGE(Model!O$44-Model!O$59,Model!N$44-Model!N$59)/Model!N$25</f>
        <v>1.1474216178461671E-2</v>
      </c>
      <c r="L45" s="256">
        <f>AVERAGE(Model!Q$44-Model!Q$59,Model!P$44-Model!P$59)/Model!P$25-AVERAGE(Model!P$44-Model!P$59,Model!O$44-Model!O$59)/Model!O$25</f>
        <v>1.3526180959751666E-2</v>
      </c>
      <c r="M45" s="256">
        <f>AVERAGE(Model!R$44-Model!R$59,Model!Q$44-Model!Q$59)/Model!Q$25-AVERAGE(Model!Q$44-Model!Q$59,Model!P$44-Model!P$59)/Model!P$25</f>
        <v>1.5430994324468428E-2</v>
      </c>
      <c r="N45" s="256">
        <f>AVERAGE(Model!S$44-Model!S$59,Model!R$44-Model!R$59)/Model!R$25-AVERAGE(Model!R$44-Model!R$59,Model!Q$44-Model!Q$59)/Model!Q$25</f>
        <v>1.7471422920185165E-2</v>
      </c>
      <c r="O45" s="256">
        <f>AVERAGE(Model!T$44-Model!T$59,Model!S$44-Model!S$59)/Model!S$25-AVERAGE(Model!S$44-Model!S$59,Model!R$44-Model!R$59)/Model!R$25</f>
        <v>1.8204618646991799E-2</v>
      </c>
      <c r="P45" s="256">
        <f>AVERAGE(Model!U$44-Model!U$59,Model!T$44-Model!T$59)/Model!T$25-AVERAGE(Model!T$44-Model!T$59,Model!S$44-Model!S$59)/Model!S$25</f>
        <v>1.9062428797489706E-2</v>
      </c>
      <c r="Q45" s="256">
        <f>AVERAGE(Model!V$44-Model!V$59,Model!U$44-Model!U$59)/Model!U$25-AVERAGE(Model!U$44-Model!U$59,Model!T$44-Model!T$59)/Model!T$25</f>
        <v>2.0102478697907766E-2</v>
      </c>
      <c r="R45" s="228"/>
      <c r="T45" s="272" t="s">
        <v>438</v>
      </c>
    </row>
    <row r="46" spans="2:20" ht="30.75" customHeight="1" thickTop="1" thickBot="1" x14ac:dyDescent="0.4">
      <c r="B46" s="244" t="s">
        <v>411</v>
      </c>
      <c r="C46" s="270">
        <f>Model!H$38/SUM(Model!H$69,Model!H$63)</f>
        <v>0.14973786966223115</v>
      </c>
      <c r="D46" s="270">
        <f>Model!I$38/SUM(Model!I$69,Model!I$63)</f>
        <v>5.180824900213684E-2</v>
      </c>
      <c r="E46" s="270">
        <f>Model!J$38/SUM(Model!J$69,Model!J$63)</f>
        <v>8.3083270817704433E-2</v>
      </c>
      <c r="F46" s="270">
        <f>Model!K$38/SUM(Model!K$69,Model!K$63)</f>
        <v>0.12023217247097844</v>
      </c>
      <c r="G46" s="270">
        <f>Model!L$38/SUM(Model!L$69,Model!L$63)</f>
        <v>6.2486839334596755E-2</v>
      </c>
      <c r="H46" s="271">
        <f>Model!M$38/SUM(Model!M$69,Model!M$63)</f>
        <v>0.1417913664278013</v>
      </c>
      <c r="I46" s="271">
        <f>Model!N$38/SUM(Model!N$69,Model!N$63)</f>
        <v>0.14116359058099523</v>
      </c>
      <c r="J46" s="271">
        <f>Model!O$38/SUM(Model!O$69,Model!O$63)</f>
        <v>0.13845483011888854</v>
      </c>
      <c r="K46" s="271">
        <f>Model!P$38/SUM(Model!P$69,Model!P$63)</f>
        <v>0.13240107497502515</v>
      </c>
      <c r="L46" s="271">
        <f>Model!Q$38/SUM(Model!Q$69,Model!Q$63)</f>
        <v>0.12854495776086966</v>
      </c>
      <c r="M46" s="271">
        <f>Model!R$38/SUM(Model!R$69,Model!R$63)</f>
        <v>0.12382055343871558</v>
      </c>
      <c r="N46" s="271">
        <f>Model!S$38/SUM(Model!S$69,Model!S$63)</f>
        <v>0.11973820116731472</v>
      </c>
      <c r="O46" s="271">
        <f>Model!T$38/SUM(Model!T$69,Model!T$63)</f>
        <v>0.1147254403458043</v>
      </c>
      <c r="P46" s="271">
        <f>Model!U$38/SUM(Model!U$69,Model!U$63)</f>
        <v>0.10978526738257668</v>
      </c>
      <c r="Q46" s="271">
        <f>Model!V$38/SUM(Model!V$69,Model!V$63)</f>
        <v>0.10348665704547112</v>
      </c>
      <c r="R46" s="228"/>
      <c r="T46" s="275" t="s">
        <v>439</v>
      </c>
    </row>
    <row r="47" spans="2:20" ht="16" thickTop="1" x14ac:dyDescent="0.35">
      <c r="B47" s="230"/>
      <c r="C47" s="230"/>
      <c r="D47" s="230"/>
      <c r="E47" s="233"/>
      <c r="F47" s="233"/>
      <c r="G47" s="233"/>
      <c r="H47" s="235"/>
      <c r="I47" s="235"/>
      <c r="J47" s="235"/>
      <c r="K47" s="235"/>
      <c r="L47" s="235"/>
      <c r="M47" s="235"/>
      <c r="N47" s="235"/>
      <c r="O47" s="235"/>
      <c r="P47" s="235"/>
      <c r="Q47" s="235"/>
      <c r="R47" s="236"/>
    </row>
    <row r="48" spans="2:20" x14ac:dyDescent="0.35">
      <c r="C48" s="229"/>
      <c r="D48" s="229"/>
      <c r="E48" s="229"/>
      <c r="F48" s="229"/>
      <c r="G48" s="229"/>
      <c r="H48" s="237"/>
      <c r="I48" s="237"/>
      <c r="J48" s="237"/>
      <c r="K48" s="237"/>
      <c r="L48" s="237"/>
      <c r="M48" s="237"/>
      <c r="N48" s="237"/>
      <c r="O48" s="237"/>
      <c r="P48" s="237"/>
      <c r="Q48" s="237"/>
      <c r="R48" s="85"/>
    </row>
    <row r="50" spans="5:17" x14ac:dyDescent="0.35">
      <c r="E50" s="237"/>
      <c r="F50" s="237"/>
      <c r="G50" s="237"/>
      <c r="H50" s="237"/>
      <c r="I50" s="237"/>
      <c r="J50" s="237"/>
      <c r="K50" s="237"/>
      <c r="L50" s="237"/>
      <c r="M50" s="237"/>
      <c r="N50" s="237"/>
      <c r="O50" s="237"/>
      <c r="P50" s="237"/>
      <c r="Q50" s="237"/>
    </row>
  </sheetData>
  <mergeCells count="4">
    <mergeCell ref="B7:R7"/>
    <mergeCell ref="B8:B9"/>
    <mergeCell ref="R8:R9"/>
    <mergeCell ref="T7:T9"/>
  </mergeCells>
  <pageMargins left="0.7" right="0.7" top="0.75" bottom="0.75" header="0.3" footer="0.3"/>
  <drawing r:id="rId1"/>
  <extLst>
    <ext xmlns:x14="http://schemas.microsoft.com/office/spreadsheetml/2009/9/main" uri="{05C60535-1F16-4fd2-B633-F4F36F0B64E0}">
      <x14:sparklineGroups xmlns:xm="http://schemas.microsoft.com/office/excel/2006/main">
        <x14:sparklineGroup manualMax="0" manualMin="0" lineWeight="1.5" displayEmptyCellsAs="gap" xr2:uid="{10D3212D-6CF9-4CAA-B88A-AA8279FA2CEE}">
          <x14:colorSeries theme="4" tint="-0.499984740745262"/>
          <x14:colorNegative theme="5"/>
          <x14:colorAxis rgb="FF000000"/>
          <x14:colorMarkers theme="4" tint="-0.499984740745262"/>
          <x14:colorFirst theme="4" tint="0.39997558519241921"/>
          <x14:colorLast theme="4" tint="0.39997558519241921"/>
          <x14:colorHigh theme="4"/>
          <x14:colorLow theme="4"/>
          <x14:sparklines>
            <x14:sparkline>
              <xm:f>'Ratio Analysis'!C12:Q12</xm:f>
              <xm:sqref>R12</xm:sqref>
            </x14:sparkline>
          </x14:sparklines>
        </x14:sparklineGroup>
        <x14:sparklineGroup manualMax="0" manualMin="0" lineWeight="1.5" displayEmptyCellsAs="gap" xr2:uid="{E674F4EA-EFB4-4B40-B41F-380405792660}">
          <x14:colorSeries theme="4" tint="-0.499984740745262"/>
          <x14:colorNegative theme="5"/>
          <x14:colorAxis rgb="FF000000"/>
          <x14:colorMarkers theme="4" tint="-0.499984740745262"/>
          <x14:colorFirst theme="4" tint="0.39997558519241921"/>
          <x14:colorLast theme="4" tint="0.39997558519241921"/>
          <x14:colorHigh theme="4"/>
          <x14:colorLow theme="4"/>
          <x14:sparklines>
            <x14:sparkline>
              <xm:f>'Ratio Analysis'!C11:Q11</xm:f>
              <xm:sqref>R11</xm:sqref>
            </x14:sparkline>
          </x14:sparklines>
        </x14:sparklineGroup>
        <x14:sparklineGroup manualMax="0" manualMin="0" lineWeight="1.5" displayEmptyCellsAs="gap" xr2:uid="{D6FC3235-4CBD-4988-ADBE-208930EA02FD}">
          <x14:colorSeries theme="4" tint="-0.499984740745262"/>
          <x14:colorNegative theme="5"/>
          <x14:colorAxis rgb="FF000000"/>
          <x14:colorMarkers theme="4" tint="-0.499984740745262"/>
          <x14:colorFirst theme="4" tint="0.39997558519241921"/>
          <x14:colorLast theme="4" tint="0.39997558519241921"/>
          <x14:colorHigh theme="4"/>
          <x14:colorLow theme="4"/>
          <x14:sparklines>
            <x14:sparkline>
              <xm:f>'Ratio Analysis'!C16:Q16</xm:f>
              <xm:sqref>R16</xm:sqref>
            </x14:sparkline>
          </x14:sparklines>
        </x14:sparklineGroup>
        <x14:sparklineGroup manualMax="0" manualMin="0" lineWeight="1.5" displayEmptyCellsAs="gap" xr2:uid="{FC2EB44F-9483-4EFF-9CE0-B0728E95C85F}">
          <x14:colorSeries theme="4" tint="-0.499984740745262"/>
          <x14:colorNegative theme="5"/>
          <x14:colorAxis rgb="FF000000"/>
          <x14:colorMarkers theme="4" tint="-0.499984740745262"/>
          <x14:colorFirst theme="4" tint="0.39997558519241921"/>
          <x14:colorLast theme="4" tint="0.39997558519241921"/>
          <x14:colorHigh theme="4"/>
          <x14:colorLow theme="4"/>
          <x14:sparklines>
            <x14:sparkline>
              <xm:f>'Ratio Analysis'!C13:Q13</xm:f>
              <xm:sqref>R13</xm:sqref>
            </x14:sparkline>
          </x14:sparklines>
        </x14:sparklineGroup>
        <x14:sparklineGroup manualMax="0" manualMin="0" lineWeight="1.5" displayEmptyCellsAs="gap" xr2:uid="{8A62D1D6-4537-4E32-8A24-661662983379}">
          <x14:colorSeries theme="4" tint="-0.499984740745262"/>
          <x14:colorNegative theme="5"/>
          <x14:colorAxis rgb="FF000000"/>
          <x14:colorMarkers theme="4" tint="-0.499984740745262"/>
          <x14:colorFirst theme="4" tint="0.39997558519241921"/>
          <x14:colorLast theme="4" tint="0.39997558519241921"/>
          <x14:colorHigh theme="4"/>
          <x14:colorLow theme="4"/>
          <x14:sparklines>
            <x14:sparkline>
              <xm:f>'Ratio Analysis'!C14:Q14</xm:f>
              <xm:sqref>R14</xm:sqref>
            </x14:sparkline>
          </x14:sparklines>
        </x14:sparklineGroup>
        <x14:sparklineGroup manualMax="0" manualMin="0" lineWeight="1.5" displayEmptyCellsAs="gap" xr2:uid="{AC86815F-2621-4B39-AD67-D1932093D1EA}">
          <x14:colorSeries theme="4" tint="-0.499984740745262"/>
          <x14:colorNegative theme="5"/>
          <x14:colorAxis rgb="FF000000"/>
          <x14:colorMarkers theme="4" tint="-0.499984740745262"/>
          <x14:colorFirst theme="4" tint="0.39997558519241921"/>
          <x14:colorLast theme="4" tint="0.39997558519241921"/>
          <x14:colorHigh theme="4"/>
          <x14:colorLow theme="4"/>
          <x14:sparklines>
            <x14:sparkline>
              <xm:f>'Ratio Analysis'!C15:Q15</xm:f>
              <xm:sqref>R15</xm:sqref>
            </x14:sparkline>
          </x14:sparklines>
        </x14:sparklineGroup>
        <x14:sparklineGroup manualMax="0" manualMin="0" lineWeight="1.5" displayEmptyCellsAs="gap" xr2:uid="{70E72517-9980-4F58-AC6D-E390C705295B}">
          <x14:colorSeries theme="4" tint="-0.499984740745262"/>
          <x14:colorNegative theme="5"/>
          <x14:colorAxis rgb="FF000000"/>
          <x14:colorMarkers theme="4" tint="-0.499984740745262"/>
          <x14:colorFirst theme="4" tint="0.39997558519241921"/>
          <x14:colorLast theme="4" tint="0.39997558519241921"/>
          <x14:colorHigh theme="4"/>
          <x14:colorLow theme="4"/>
          <x14:sparklines>
            <x14:sparkline>
              <xm:f>'Ratio Analysis'!C19:Q19</xm:f>
              <xm:sqref>R19</xm:sqref>
            </x14:sparkline>
          </x14:sparklines>
        </x14:sparklineGroup>
        <x14:sparklineGroup manualMax="0" manualMin="0" lineWeight="1.5" displayEmptyCellsAs="gap" xr2:uid="{2293EFE3-88A3-4875-8A38-FC369766E617}">
          <x14:colorSeries theme="4" tint="-0.499984740745262"/>
          <x14:colorNegative theme="5"/>
          <x14:colorAxis rgb="FF000000"/>
          <x14:colorMarkers theme="4" tint="-0.499984740745262"/>
          <x14:colorFirst theme="4" tint="0.39997558519241921"/>
          <x14:colorLast theme="4" tint="0.39997558519241921"/>
          <x14:colorHigh theme="4"/>
          <x14:colorLow theme="4"/>
          <x14:sparklines>
            <x14:sparkline>
              <xm:f>'Ratio Analysis'!C20:Q20</xm:f>
              <xm:sqref>R20</xm:sqref>
            </x14:sparkline>
          </x14:sparklines>
        </x14:sparklineGroup>
        <x14:sparklineGroup manualMax="0" manualMin="0" lineWeight="1.5" displayEmptyCellsAs="gap" xr2:uid="{AD59AEE8-C72E-4126-9140-4C8B36F8617A}">
          <x14:colorSeries theme="4" tint="-0.499984740745262"/>
          <x14:colorNegative theme="5"/>
          <x14:colorAxis rgb="FF000000"/>
          <x14:colorMarkers theme="4" tint="-0.499984740745262"/>
          <x14:colorFirst theme="4" tint="0.39997558519241921"/>
          <x14:colorLast theme="4" tint="0.39997558519241921"/>
          <x14:colorHigh theme="4"/>
          <x14:colorLow theme="4"/>
          <x14:sparklines>
            <x14:sparkline>
              <xm:f>'Ratio Analysis'!C21:Q21</xm:f>
              <xm:sqref>R21</xm:sqref>
            </x14:sparkline>
          </x14:sparklines>
        </x14:sparklineGroup>
        <x14:sparklineGroup manualMax="0" manualMin="0" lineWeight="1.5" displayEmptyCellsAs="gap" xr2:uid="{D0B67540-8C93-4D2B-ADBE-719F0258D46F}">
          <x14:colorSeries theme="4" tint="-0.499984740745262"/>
          <x14:colorNegative theme="5"/>
          <x14:colorAxis rgb="FF000000"/>
          <x14:colorMarkers theme="4" tint="-0.499984740745262"/>
          <x14:colorFirst theme="4" tint="0.39997558519241921"/>
          <x14:colorLast theme="4" tint="0.39997558519241921"/>
          <x14:colorHigh theme="4"/>
          <x14:colorLow theme="4"/>
          <x14:sparklines>
            <x14:sparkline>
              <xm:f>'Ratio Analysis'!C22:Q22</xm:f>
              <xm:sqref>R22</xm:sqref>
            </x14:sparkline>
          </x14:sparklines>
        </x14:sparklineGroup>
        <x14:sparklineGroup manualMax="0" manualMin="0" lineWeight="1.5" displayEmptyCellsAs="gap" xr2:uid="{1FCEDEAC-A1FE-4B29-AC43-7513704A1C05}">
          <x14:colorSeries theme="4" tint="-0.499984740745262"/>
          <x14:colorNegative theme="5"/>
          <x14:colorAxis rgb="FF000000"/>
          <x14:colorMarkers theme="4" tint="-0.499984740745262"/>
          <x14:colorFirst theme="4" tint="0.39997558519241921"/>
          <x14:colorLast theme="4" tint="0.39997558519241921"/>
          <x14:colorHigh theme="4"/>
          <x14:colorLow theme="4"/>
          <x14:sparklines>
            <x14:sparkline>
              <xm:f>'Ratio Analysis'!C23:Q23</xm:f>
              <xm:sqref>R23</xm:sqref>
            </x14:sparkline>
          </x14:sparklines>
        </x14:sparklineGroup>
        <x14:sparklineGroup manualMax="0" manualMin="0" lineWeight="1.5" displayEmptyCellsAs="gap" xr2:uid="{C06C32F8-DCD1-4581-86D4-DF3F71E11AA8}">
          <x14:colorSeries theme="4" tint="-0.499984740745262"/>
          <x14:colorNegative theme="5"/>
          <x14:colorAxis rgb="FF000000"/>
          <x14:colorMarkers theme="4" tint="-0.499984740745262"/>
          <x14:colorFirst theme="4" tint="0.39997558519241921"/>
          <x14:colorLast theme="4" tint="0.39997558519241921"/>
          <x14:colorHigh theme="4"/>
          <x14:colorLow theme="4"/>
          <x14:sparklines>
            <x14:sparkline>
              <xm:f>'Ratio Analysis'!C24:Q24</xm:f>
              <xm:sqref>R24</xm:sqref>
            </x14:sparkline>
          </x14:sparklines>
        </x14:sparklineGroup>
        <x14:sparklineGroup manualMax="0" manualMin="0" lineWeight="1.5" displayEmptyCellsAs="gap" xr2:uid="{0CFCEFF6-DC83-4E8B-AA40-64340C706468}">
          <x14:colorSeries theme="4" tint="-0.499984740745262"/>
          <x14:colorNegative theme="5"/>
          <x14:colorAxis rgb="FF000000"/>
          <x14:colorMarkers theme="4" tint="-0.499984740745262"/>
          <x14:colorFirst theme="4" tint="0.39997558519241921"/>
          <x14:colorLast theme="4" tint="0.39997558519241921"/>
          <x14:colorHigh theme="4"/>
          <x14:colorLow theme="4"/>
          <x14:sparklines>
            <x14:sparkline>
              <xm:f>'Ratio Analysis'!C25:Q25</xm:f>
              <xm:sqref>R25</xm:sqref>
            </x14:sparkline>
          </x14:sparklines>
        </x14:sparklineGroup>
        <x14:sparklineGroup manualMax="0" manualMin="0" lineWeight="1.5" displayEmptyCellsAs="gap" xr2:uid="{CE132E9C-B4C5-46F9-A6B2-E01AC725CE9B}">
          <x14:colorSeries theme="4" tint="-0.499984740745262"/>
          <x14:colorNegative theme="5"/>
          <x14:colorAxis rgb="FF000000"/>
          <x14:colorMarkers theme="4" tint="-0.499984740745262"/>
          <x14:colorFirst theme="4" tint="0.39997558519241921"/>
          <x14:colorLast theme="4" tint="0.39997558519241921"/>
          <x14:colorHigh theme="4"/>
          <x14:colorLow theme="4"/>
          <x14:sparklines>
            <x14:sparkline>
              <xm:f>'Ratio Analysis'!C28:Q28</xm:f>
              <xm:sqref>R28</xm:sqref>
            </x14:sparkline>
          </x14:sparklines>
        </x14:sparklineGroup>
        <x14:sparklineGroup manualMax="0" manualMin="0" lineWeight="1.5" displayEmptyCellsAs="gap" xr2:uid="{D54654C4-F26C-4B49-AD9C-02FA2EB8B7D3}">
          <x14:colorSeries theme="4" tint="-0.499984740745262"/>
          <x14:colorNegative theme="5"/>
          <x14:colorAxis rgb="FF000000"/>
          <x14:colorMarkers theme="4" tint="-0.499984740745262"/>
          <x14:colorFirst theme="4" tint="0.39997558519241921"/>
          <x14:colorLast theme="4" tint="0.39997558519241921"/>
          <x14:colorHigh theme="4"/>
          <x14:colorLow theme="4"/>
          <x14:sparklines>
            <x14:sparkline>
              <xm:f>'Ratio Analysis'!C29:Q29</xm:f>
              <xm:sqref>R29</xm:sqref>
            </x14:sparkline>
          </x14:sparklines>
        </x14:sparklineGroup>
        <x14:sparklineGroup manualMax="0" manualMin="0" lineWeight="1.5" displayEmptyCellsAs="gap" xr2:uid="{B224AE77-7BDC-41A6-9D13-56E4025C0DEC}">
          <x14:colorSeries theme="4" tint="-0.499984740745262"/>
          <x14:colorNegative theme="5"/>
          <x14:colorAxis rgb="FF000000"/>
          <x14:colorMarkers theme="4" tint="-0.499984740745262"/>
          <x14:colorFirst theme="4" tint="0.39997558519241921"/>
          <x14:colorLast theme="4" tint="0.39997558519241921"/>
          <x14:colorHigh theme="4"/>
          <x14:colorLow theme="4"/>
          <x14:sparklines>
            <x14:sparkline>
              <xm:f>'Ratio Analysis'!C30:Q30</xm:f>
              <xm:sqref>R30</xm:sqref>
            </x14:sparkline>
          </x14:sparklines>
        </x14:sparklineGroup>
        <x14:sparklineGroup manualMax="0" manualMin="0" lineWeight="1.5" displayEmptyCellsAs="gap" xr2:uid="{AC9EEC15-7FFF-478A-A0F2-E47B11C212A4}">
          <x14:colorSeries theme="4" tint="-0.499984740745262"/>
          <x14:colorNegative theme="5"/>
          <x14:colorAxis rgb="FF000000"/>
          <x14:colorMarkers theme="4" tint="-0.499984740745262"/>
          <x14:colorFirst theme="4" tint="0.39997558519241921"/>
          <x14:colorLast theme="4" tint="0.39997558519241921"/>
          <x14:colorHigh theme="4"/>
          <x14:colorLow theme="4"/>
          <x14:sparklines>
            <x14:sparkline>
              <xm:f>'Ratio Analysis'!C33:Q33</xm:f>
              <xm:sqref>R33</xm:sqref>
            </x14:sparkline>
          </x14:sparklines>
        </x14:sparklineGroup>
        <x14:sparklineGroup manualMax="0" manualMin="0" lineWeight="1.5" displayEmptyCellsAs="gap" xr2:uid="{E5C8FC7D-9604-4DE3-8681-09D5E2BEE08B}">
          <x14:colorSeries theme="4" tint="-0.499984740745262"/>
          <x14:colorNegative theme="5"/>
          <x14:colorAxis rgb="FF000000"/>
          <x14:colorMarkers theme="4" tint="-0.499984740745262"/>
          <x14:colorFirst theme="4" tint="0.39997558519241921"/>
          <x14:colorLast theme="4" tint="0.39997558519241921"/>
          <x14:colorHigh theme="4"/>
          <x14:colorLow theme="4"/>
          <x14:sparklines>
            <x14:sparkline>
              <xm:f>'Ratio Analysis'!C34:Q34</xm:f>
              <xm:sqref>R34</xm:sqref>
            </x14:sparkline>
          </x14:sparklines>
        </x14:sparklineGroup>
        <x14:sparklineGroup manualMax="0" manualMin="0" lineWeight="1.5" displayEmptyCellsAs="gap" xr2:uid="{2C91C22E-64A5-4638-9EAE-5FD3BA41194D}">
          <x14:colorSeries theme="4" tint="-0.499984740745262"/>
          <x14:colorNegative theme="5"/>
          <x14:colorAxis rgb="FF000000"/>
          <x14:colorMarkers theme="4" tint="-0.499984740745262"/>
          <x14:colorFirst theme="4" tint="0.39997558519241921"/>
          <x14:colorLast theme="4" tint="0.39997558519241921"/>
          <x14:colorHigh theme="4"/>
          <x14:colorLow theme="4"/>
          <x14:sparklines>
            <x14:sparkline>
              <xm:f>'Ratio Analysis'!C35:Q35</xm:f>
              <xm:sqref>R35</xm:sqref>
            </x14:sparkline>
          </x14:sparklines>
        </x14:sparklineGroup>
        <x14:sparklineGroup manualMax="0" manualMin="0" lineWeight="1.5" displayEmptyCellsAs="gap" xr2:uid="{A4FA1D19-EC1F-430E-B2B2-F9C75CEC13ED}">
          <x14:colorSeries theme="4" tint="-0.499984740745262"/>
          <x14:colorNegative theme="5"/>
          <x14:colorAxis rgb="FF000000"/>
          <x14:colorMarkers theme="4" tint="-0.499984740745262"/>
          <x14:colorFirst theme="4" tint="0.39997558519241921"/>
          <x14:colorLast theme="4" tint="0.39997558519241921"/>
          <x14:colorHigh theme="4"/>
          <x14:colorLow theme="4"/>
          <x14:sparklines>
            <x14:sparkline>
              <xm:f>'Ratio Analysis'!C38:Q38</xm:f>
              <xm:sqref>R38</xm:sqref>
            </x14:sparkline>
          </x14:sparklines>
        </x14:sparklineGroup>
        <x14:sparklineGroup manualMax="0" manualMin="0" lineWeight="1.5" displayEmptyCellsAs="gap" xr2:uid="{3BDC4057-335F-42E3-B81E-D774379F73F8}">
          <x14:colorSeries theme="4" tint="-0.499984740745262"/>
          <x14:colorNegative theme="5"/>
          <x14:colorAxis rgb="FF000000"/>
          <x14:colorMarkers theme="4" tint="-0.499984740745262"/>
          <x14:colorFirst theme="4" tint="0.39997558519241921"/>
          <x14:colorLast theme="4" tint="0.39997558519241921"/>
          <x14:colorHigh theme="4"/>
          <x14:colorLow theme="4"/>
          <x14:sparklines>
            <x14:sparkline>
              <xm:f>'Ratio Analysis'!C39:Q39</xm:f>
              <xm:sqref>R39</xm:sqref>
            </x14:sparkline>
          </x14:sparklines>
        </x14:sparklineGroup>
        <x14:sparklineGroup manualMax="0" manualMin="0" lineWeight="1.5" displayEmptyCellsAs="gap" xr2:uid="{EA975729-C85D-4510-B1F6-DE9F66709661}">
          <x14:colorSeries theme="4" tint="-0.499984740745262"/>
          <x14:colorNegative theme="5"/>
          <x14:colorAxis rgb="FF000000"/>
          <x14:colorMarkers theme="4" tint="-0.499984740745262"/>
          <x14:colorFirst theme="4" tint="0.39997558519241921"/>
          <x14:colorLast theme="4" tint="0.39997558519241921"/>
          <x14:colorHigh theme="4"/>
          <x14:colorLow theme="4"/>
          <x14:sparklines>
            <x14:sparkline>
              <xm:f>'Ratio Analysis'!C40:Q40</xm:f>
              <xm:sqref>R40</xm:sqref>
            </x14:sparkline>
          </x14:sparklines>
        </x14:sparklineGroup>
        <x14:sparklineGroup manualMax="0" manualMin="0" lineWeight="1.5" displayEmptyCellsAs="gap" xr2:uid="{1AD54328-0013-4A23-B79E-6A1B58685BEF}">
          <x14:colorSeries theme="4" tint="-0.499984740745262"/>
          <x14:colorNegative theme="5"/>
          <x14:colorAxis rgb="FF000000"/>
          <x14:colorMarkers theme="4" tint="-0.499984740745262"/>
          <x14:colorFirst theme="4" tint="0.39997558519241921"/>
          <x14:colorLast theme="4" tint="0.39997558519241921"/>
          <x14:colorHigh theme="4"/>
          <x14:colorLow theme="4"/>
          <x14:sparklines>
            <x14:sparkline>
              <xm:f>'Ratio Analysis'!C41:Q41</xm:f>
              <xm:sqref>R41</xm:sqref>
            </x14:sparkline>
          </x14:sparklines>
        </x14:sparklineGroup>
        <x14:sparklineGroup manualMax="0" manualMin="0" lineWeight="1.5" displayEmptyCellsAs="gap" xr2:uid="{D72886CA-BD25-409B-95CD-CA9517132B28}">
          <x14:colorSeries theme="4" tint="-0.499984740745262"/>
          <x14:colorNegative theme="5"/>
          <x14:colorAxis rgb="FF000000"/>
          <x14:colorMarkers theme="4" tint="-0.499984740745262"/>
          <x14:colorFirst theme="4" tint="0.39997558519241921"/>
          <x14:colorLast theme="4" tint="0.39997558519241921"/>
          <x14:colorHigh theme="4"/>
          <x14:colorLow theme="4"/>
          <x14:sparklines>
            <x14:sparkline>
              <xm:f>'Ratio Analysis'!C42:Q42</xm:f>
              <xm:sqref>R42</xm:sqref>
            </x14:sparkline>
          </x14:sparklines>
        </x14:sparklineGroup>
        <x14:sparklineGroup manualMax="0" manualMin="0" lineWeight="1.5" displayEmptyCellsAs="gap" xr2:uid="{7B9E8CE9-43A8-4D1A-8332-75AAE37D24E6}">
          <x14:colorSeries theme="4" tint="-0.499984740745262"/>
          <x14:colorNegative theme="5"/>
          <x14:colorAxis rgb="FF000000"/>
          <x14:colorMarkers theme="4" tint="-0.499984740745262"/>
          <x14:colorFirst theme="4" tint="0.39997558519241921"/>
          <x14:colorLast theme="4" tint="0.39997558519241921"/>
          <x14:colorHigh theme="4"/>
          <x14:colorLow theme="4"/>
          <x14:sparklines>
            <x14:sparkline>
              <xm:f>'Ratio Analysis'!C43:Q43</xm:f>
              <xm:sqref>R43</xm:sqref>
            </x14:sparkline>
          </x14:sparklines>
        </x14:sparklineGroup>
        <x14:sparklineGroup manualMax="0" manualMin="0" lineWeight="1.5" displayEmptyCellsAs="gap" xr2:uid="{D0C9AB72-EDC2-4FA4-9624-74B3F0B682DE}">
          <x14:colorSeries theme="4" tint="-0.499984740745262"/>
          <x14:colorNegative theme="5"/>
          <x14:colorAxis rgb="FF000000"/>
          <x14:colorMarkers theme="4" tint="-0.499984740745262"/>
          <x14:colorFirst theme="4" tint="0.39997558519241921"/>
          <x14:colorLast theme="4" tint="0.39997558519241921"/>
          <x14:colorHigh theme="4"/>
          <x14:colorLow theme="4"/>
          <x14:sparklines>
            <x14:sparkline>
              <xm:f>'Ratio Analysis'!C44:Q44</xm:f>
              <xm:sqref>R44</xm:sqref>
            </x14:sparkline>
          </x14:sparklines>
        </x14:sparklineGroup>
        <x14:sparklineGroup manualMax="0" manualMin="0" lineWeight="1.5" displayEmptyCellsAs="gap" xr2:uid="{966FA423-799C-4AF7-99D4-91D690496C6F}">
          <x14:colorSeries theme="4" tint="-0.499984740745262"/>
          <x14:colorNegative theme="5"/>
          <x14:colorAxis rgb="FF000000"/>
          <x14:colorMarkers theme="4" tint="-0.499984740745262"/>
          <x14:colorFirst theme="4" tint="0.39997558519241921"/>
          <x14:colorLast theme="4" tint="0.39997558519241921"/>
          <x14:colorHigh theme="4"/>
          <x14:colorLow theme="4"/>
          <x14:sparklines>
            <x14:sparkline>
              <xm:f>'Ratio Analysis'!C45:Q45</xm:f>
              <xm:sqref>R45</xm:sqref>
            </x14:sparkline>
          </x14:sparklines>
        </x14:sparklineGroup>
        <x14:sparklineGroup manualMax="0" manualMin="0" lineWeight="1.5" displayEmptyCellsAs="gap" xr2:uid="{A2A4FF9A-FB6D-499C-8C56-78AA9A1D2DA7}">
          <x14:colorSeries theme="4" tint="-0.499984740745262"/>
          <x14:colorNegative theme="5"/>
          <x14:colorAxis rgb="FF000000"/>
          <x14:colorMarkers theme="4" tint="-0.499984740745262"/>
          <x14:colorFirst theme="4" tint="0.39997558519241921"/>
          <x14:colorLast theme="4" tint="0.39997558519241921"/>
          <x14:colorHigh theme="4"/>
          <x14:colorLow theme="4"/>
          <x14:sparklines>
            <x14:sparkline>
              <xm:f>'Ratio Analysis'!C46:Q46</xm:f>
              <xm:sqref>R46</xm:sqref>
            </x14:sparkline>
          </x14:sparklines>
        </x14:sparklineGroup>
      </x14:sparklineGroups>
    </ext>
  </extLst>
</worksheet>
</file>

<file path=xl/worksheets/sheet7.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3A6F7659-9C9B-459F-A098-6F0948CCC8D9}">
  <dimension ref="A1:U21"/>
  <sheetViews>
    <sheetView showGridLines="0" topLeftCell="B1" zoomScale="70" zoomScaleNormal="70" workbookViewId="0">
      <selection activeCell="H16" sqref="H16"/>
    </sheetView>
  </sheetViews>
  <sheetFormatPr defaultColWidth="11.6328125" defaultRowHeight="15.5" x14ac:dyDescent="0.35"/>
  <cols>
    <col min="1" max="3" width="1.26953125" style="1" customWidth="1"/>
    <col min="4" max="4" width="40.6328125" style="1" customWidth="1"/>
    <col min="5" max="6" width="12.6328125" style="1" customWidth="1"/>
    <col min="7" max="7" width="2.6328125" style="1" customWidth="1"/>
    <col min="8" max="8" width="13.36328125" style="1" bestFit="1" customWidth="1"/>
    <col min="9" max="9" width="11.6328125" style="1"/>
    <col min="10" max="10" width="13.36328125" style="1" bestFit="1" customWidth="1"/>
    <col min="11" max="11" width="12.1796875" style="1" bestFit="1" customWidth="1"/>
    <col min="12" max="12" width="11.6328125" style="1"/>
    <col min="13" max="13" width="13.36328125" style="1" bestFit="1" customWidth="1"/>
    <col min="14" max="14" width="11.6328125" style="1"/>
    <col min="15" max="15" width="12.1796875" style="1" bestFit="1" customWidth="1"/>
    <col min="16" max="16384" width="11.6328125" style="1"/>
  </cols>
  <sheetData>
    <row r="1" spans="1:21" ht="32" x14ac:dyDescent="0.7">
      <c r="A1" s="9" t="s">
        <v>1</v>
      </c>
      <c r="B1" s="10"/>
      <c r="C1" s="10"/>
      <c r="D1" s="10"/>
      <c r="E1" s="10"/>
      <c r="F1" s="10"/>
      <c r="G1" s="10"/>
      <c r="H1" s="10"/>
      <c r="I1" s="10"/>
      <c r="J1" s="10"/>
      <c r="K1" s="10"/>
      <c r="L1" s="10"/>
      <c r="M1" s="28"/>
      <c r="N1" s="28"/>
      <c r="O1" s="28"/>
      <c r="P1" s="28"/>
      <c r="Q1" s="28"/>
      <c r="R1" s="28"/>
      <c r="S1" s="28"/>
      <c r="T1" s="28"/>
      <c r="U1" s="28"/>
    </row>
    <row r="2" spans="1:21" x14ac:dyDescent="0.35">
      <c r="A2" s="11" t="s">
        <v>267</v>
      </c>
      <c r="B2" s="10"/>
      <c r="C2" s="10"/>
      <c r="D2" s="10"/>
      <c r="E2" s="10"/>
      <c r="F2" s="10"/>
      <c r="G2" s="10"/>
      <c r="H2" s="10"/>
      <c r="I2" s="10"/>
      <c r="J2" s="10"/>
      <c r="K2" s="10"/>
      <c r="L2" s="10"/>
      <c r="M2" s="28"/>
      <c r="N2" s="28"/>
      <c r="O2" s="28"/>
      <c r="P2" s="28"/>
      <c r="Q2" s="28"/>
      <c r="R2" s="28"/>
      <c r="S2" s="28"/>
      <c r="T2" s="28"/>
      <c r="U2" s="28"/>
    </row>
    <row r="5" spans="1:21" x14ac:dyDescent="0.35">
      <c r="D5" s="96"/>
      <c r="E5" s="96"/>
      <c r="F5" s="96"/>
      <c r="G5" s="96"/>
      <c r="H5" s="96"/>
      <c r="I5" s="96"/>
      <c r="J5" s="319" t="s">
        <v>268</v>
      </c>
      <c r="K5" s="319"/>
      <c r="L5" s="96"/>
      <c r="M5" s="96"/>
      <c r="N5" s="96"/>
      <c r="O5" s="96"/>
      <c r="P5" s="319" t="s">
        <v>269</v>
      </c>
      <c r="Q5" s="319"/>
      <c r="R5" s="96"/>
      <c r="S5" s="96"/>
      <c r="T5" s="96" t="s">
        <v>270</v>
      </c>
      <c r="U5" s="96"/>
    </row>
    <row r="6" spans="1:21" x14ac:dyDescent="0.35">
      <c r="D6" s="96"/>
      <c r="E6" s="97" t="s">
        <v>292</v>
      </c>
      <c r="F6" s="96"/>
      <c r="G6" s="96"/>
      <c r="H6" s="96" t="s">
        <v>271</v>
      </c>
      <c r="I6" s="96" t="s">
        <v>272</v>
      </c>
      <c r="J6" s="96" t="s">
        <v>245</v>
      </c>
      <c r="K6" s="97" t="s">
        <v>172</v>
      </c>
      <c r="L6" s="98" t="s">
        <v>159</v>
      </c>
      <c r="M6" s="97" t="s">
        <v>273</v>
      </c>
      <c r="N6" s="96"/>
      <c r="O6" s="99" t="s">
        <v>107</v>
      </c>
      <c r="P6" s="99" t="s">
        <v>147</v>
      </c>
      <c r="Q6" s="99" t="s">
        <v>274</v>
      </c>
      <c r="R6" s="96"/>
      <c r="S6" s="96" t="s">
        <v>275</v>
      </c>
      <c r="T6" s="96" t="s">
        <v>230</v>
      </c>
      <c r="U6" s="99" t="s">
        <v>276</v>
      </c>
    </row>
    <row r="7" spans="1:21" ht="16" x14ac:dyDescent="0.4">
      <c r="D7" s="96" t="s">
        <v>277</v>
      </c>
      <c r="E7" s="96"/>
      <c r="F7" s="96"/>
      <c r="G7" s="96"/>
      <c r="H7" s="100" t="s">
        <v>278</v>
      </c>
      <c r="I7" s="101" t="s">
        <v>279</v>
      </c>
      <c r="J7" s="100" t="s">
        <v>282</v>
      </c>
      <c r="K7" s="96"/>
      <c r="L7" s="99" t="s">
        <v>280</v>
      </c>
      <c r="M7" s="100" t="s">
        <v>282</v>
      </c>
      <c r="N7" s="96"/>
      <c r="O7" s="102" t="s">
        <v>282</v>
      </c>
      <c r="P7" s="102" t="s">
        <v>282</v>
      </c>
      <c r="Q7" s="102" t="s">
        <v>282</v>
      </c>
      <c r="R7" s="96"/>
      <c r="S7" s="103" t="s">
        <v>281</v>
      </c>
      <c r="T7" s="103" t="s">
        <v>281</v>
      </c>
      <c r="U7" s="103" t="s">
        <v>281</v>
      </c>
    </row>
    <row r="8" spans="1:21" x14ac:dyDescent="0.35">
      <c r="D8" s="85" t="str">
        <f>Comps_data!A4</f>
        <v>P N Gadgil</v>
      </c>
      <c r="E8" s="1" t="str">
        <f>Comps_data!B4</f>
        <v>PNGJL</v>
      </c>
      <c r="H8" s="110">
        <f>Comps_data!$C4</f>
        <v>550.54999999999995</v>
      </c>
      <c r="I8" s="108">
        <f>Comps_data!$D4</f>
        <v>1277.3399100000001</v>
      </c>
      <c r="J8" s="111">
        <f>H8*I8</f>
        <v>703239.48745050002</v>
      </c>
      <c r="K8" s="110">
        <f>Comps_data!E4</f>
        <v>134105.663475326</v>
      </c>
      <c r="L8" s="110">
        <f>Comps_data!$F4</f>
        <v>72878.290249942249</v>
      </c>
      <c r="M8" s="111">
        <f>$J8+$K8-$L8</f>
        <v>764466.86067588383</v>
      </c>
      <c r="O8" s="110">
        <f t="array" ref="O8:Q11">Comps_data!G4:I7</f>
        <v>822231.30636769556</v>
      </c>
      <c r="P8" s="110">
        <v>42992.609828679997</v>
      </c>
      <c r="Q8" s="110">
        <v>30815.605009011997</v>
      </c>
      <c r="S8" s="39">
        <f>M8/O8</f>
        <v>0.92974672060713304</v>
      </c>
      <c r="T8" s="39">
        <f>M8/P8</f>
        <v>17.78135506828233</v>
      </c>
      <c r="U8" s="39">
        <f>J8/Q8</f>
        <v>22.820888548020985</v>
      </c>
    </row>
    <row r="9" spans="1:21" x14ac:dyDescent="0.35">
      <c r="D9" s="85" t="str">
        <f>Comps_data!A5</f>
        <v>Tribhovandas Bhimji Zaveri Limited</v>
      </c>
      <c r="E9" s="1" t="str">
        <f>Comps_data!B5</f>
        <v>TBZ</v>
      </c>
      <c r="H9" s="110">
        <f>Comps_data!$C5</f>
        <v>130.9</v>
      </c>
      <c r="I9" s="108">
        <f>Comps_data!$D5</f>
        <v>667.26710000000003</v>
      </c>
      <c r="J9" s="111">
        <f>H9*I9</f>
        <v>87345.263390000007</v>
      </c>
      <c r="K9" s="110">
        <f>Comps_data!E5</f>
        <v>85383.807211250998</v>
      </c>
      <c r="L9" s="110">
        <f>Comps_data!$F5</f>
        <v>9538.77169796825</v>
      </c>
      <c r="M9" s="111">
        <f>$J9+$K9-$L9</f>
        <v>163190.29890328276</v>
      </c>
      <c r="O9" s="110">
        <v>287548.65245810698</v>
      </c>
      <c r="P9" s="110">
        <v>20335.441261665001</v>
      </c>
      <c r="Q9" s="110">
        <v>9701.0019551415007</v>
      </c>
      <c r="S9" s="39">
        <f>M9/O9</f>
        <v>0.56752239145706995</v>
      </c>
      <c r="T9" s="39">
        <f>M9/P9</f>
        <v>8.0249204727569925</v>
      </c>
      <c r="U9" s="39">
        <f>J9/Q9</f>
        <v>9.0037362938275969</v>
      </c>
    </row>
    <row r="10" spans="1:21" x14ac:dyDescent="0.35">
      <c r="D10" s="85" t="str">
        <f>Comps_data!A6</f>
        <v>Kalyan Jewellers India Limited</v>
      </c>
      <c r="E10" s="1" t="str">
        <f>Comps_data!B6</f>
        <v>KALYANKJIL</v>
      </c>
      <c r="H10" s="110">
        <f>Comps_data!$C6</f>
        <v>383.65</v>
      </c>
      <c r="I10" s="108">
        <f>Comps_data!$D6</f>
        <v>10321.662060000001</v>
      </c>
      <c r="J10" s="111">
        <f>H10*I10</f>
        <v>3959905.6493190001</v>
      </c>
      <c r="K10" s="110">
        <f>Comps_data!E6</f>
        <v>554128.31408089935</v>
      </c>
      <c r="L10" s="110">
        <f>Comps_data!$F6</f>
        <v>83478.067889576996</v>
      </c>
      <c r="M10" s="111">
        <f>$J10+$K10-$L10</f>
        <v>4430555.8955103224</v>
      </c>
      <c r="O10" s="110">
        <v>2968960.5899858219</v>
      </c>
      <c r="P10" s="110">
        <v>169999.65988721201</v>
      </c>
      <c r="Q10" s="110">
        <v>96702.991830161249</v>
      </c>
      <c r="S10" s="39">
        <f>M10/O10</f>
        <v>1.4922919187457049</v>
      </c>
      <c r="T10" s="39">
        <f>M10/P10</f>
        <v>26.062145644584344</v>
      </c>
      <c r="U10" s="39">
        <f>J10/Q10</f>
        <v>40.949153427163381</v>
      </c>
    </row>
    <row r="11" spans="1:21" x14ac:dyDescent="0.35">
      <c r="D11" s="85" t="str">
        <f>Comps_data!A7</f>
        <v>Senco Gold Limited</v>
      </c>
      <c r="E11" s="1" t="str">
        <f>Comps_data!B7</f>
        <v>SENCO</v>
      </c>
      <c r="H11" s="110">
        <f>Comps_data!$C7</f>
        <v>295.35000000000002</v>
      </c>
      <c r="I11" s="108">
        <f>Comps_data!$D7</f>
        <v>1620.8287799999998</v>
      </c>
      <c r="J11" s="111">
        <f>H11*I11</f>
        <v>478711.78017300001</v>
      </c>
      <c r="K11" s="110">
        <f>Comps_data!E7</f>
        <v>255257.80759878925</v>
      </c>
      <c r="L11" s="110">
        <f>Comps_data!$F7</f>
        <v>58756.054968411998</v>
      </c>
      <c r="M11" s="111">
        <f>$J11+$K11-$L11</f>
        <v>675213.53280337725</v>
      </c>
      <c r="O11" s="110">
        <v>704853.60139251174</v>
      </c>
      <c r="P11" s="110">
        <v>47315.781041125745</v>
      </c>
      <c r="Q11" s="110">
        <v>25899.558279568246</v>
      </c>
      <c r="S11" s="39">
        <f>M11/O11</f>
        <v>0.95794861722976599</v>
      </c>
      <c r="T11" s="39">
        <f>M11/P11</f>
        <v>14.270366417844773</v>
      </c>
      <c r="U11" s="39">
        <f>J11/Q11</f>
        <v>18.483395546967618</v>
      </c>
    </row>
    <row r="13" spans="1:21" x14ac:dyDescent="0.35">
      <c r="B13" s="96"/>
      <c r="C13" s="96"/>
      <c r="D13" s="96" t="s">
        <v>233</v>
      </c>
      <c r="E13" s="96"/>
      <c r="F13" s="96"/>
      <c r="G13" s="96"/>
      <c r="H13" s="96"/>
      <c r="I13" s="96"/>
      <c r="J13" s="96"/>
      <c r="K13" s="96"/>
      <c r="L13" s="96"/>
      <c r="M13" s="96"/>
      <c r="N13" s="96"/>
      <c r="O13" s="96"/>
      <c r="P13" s="96"/>
      <c r="Q13" s="96"/>
      <c r="R13" s="96"/>
      <c r="S13" s="113">
        <f>AVERAGE(S8:S11)</f>
        <v>0.98687741200991841</v>
      </c>
      <c r="T13" s="113">
        <f>AVERAGE(T8:T11)</f>
        <v>16.534696900867111</v>
      </c>
      <c r="U13" s="113">
        <f>AVERAGE(U8:U11)</f>
        <v>22.814293453994893</v>
      </c>
    </row>
    <row r="14" spans="1:21" x14ac:dyDescent="0.35">
      <c r="B14" s="96"/>
      <c r="C14" s="96"/>
      <c r="D14" s="96" t="s">
        <v>300</v>
      </c>
      <c r="E14" s="96"/>
      <c r="F14" s="96"/>
      <c r="G14" s="96"/>
      <c r="H14" s="96"/>
      <c r="I14" s="96"/>
      <c r="J14" s="96"/>
      <c r="K14" s="96"/>
      <c r="L14" s="96"/>
      <c r="M14" s="96"/>
      <c r="N14" s="96"/>
      <c r="O14" s="96"/>
      <c r="P14" s="96"/>
      <c r="Q14" s="96"/>
      <c r="R14" s="96"/>
      <c r="S14" s="113">
        <f>MEDIAN(S8:S11)</f>
        <v>0.94384766891844951</v>
      </c>
      <c r="T14" s="113">
        <f>MEDIAN(T8:T11)</f>
        <v>16.025860743063554</v>
      </c>
      <c r="U14" s="113">
        <f>MEDIAN(U8:U11)</f>
        <v>20.652142047494301</v>
      </c>
    </row>
    <row r="16" spans="1:21" x14ac:dyDescent="0.35">
      <c r="D16" s="1" t="str">
        <f>Comps_data!A2</f>
        <v>Thangamayil Jewellery Limited</v>
      </c>
      <c r="E16" s="1" t="str">
        <f>Comps_data!B2</f>
        <v>THANGAMAYL</v>
      </c>
      <c r="H16" s="110">
        <f>Comps_data!C2</f>
        <v>3496.9</v>
      </c>
      <c r="I16" s="108">
        <f>Comps_data!D2</f>
        <v>300.85989000000001</v>
      </c>
      <c r="J16" s="111">
        <f>H16*I16</f>
        <v>1052076.9493410001</v>
      </c>
      <c r="K16" s="111">
        <f>Comps_data!E2</f>
        <v>116783.37526446776</v>
      </c>
      <c r="L16" s="111">
        <f>Comps_data!F2</f>
        <v>23097.006804004999</v>
      </c>
      <c r="M16" s="111">
        <f>J16+K16-L16</f>
        <v>1145763.3178014627</v>
      </c>
      <c r="N16" s="111"/>
      <c r="O16" s="111">
        <f>Comps_data!G2</f>
        <v>599530.23409152741</v>
      </c>
      <c r="P16" s="111">
        <f>Comps_data!H2</f>
        <v>33007.000202386254</v>
      </c>
      <c r="Q16" s="111">
        <f>Comps_data!I2</f>
        <v>19090.83874954225</v>
      </c>
      <c r="S16" s="39">
        <f>M16/O16</f>
        <v>1.9111018138020117</v>
      </c>
      <c r="T16" s="39">
        <f>M16/P16</f>
        <v>34.712737018695485</v>
      </c>
      <c r="U16" s="39">
        <f>J16/Q16</f>
        <v>55.108995636256481</v>
      </c>
    </row>
    <row r="18" spans="2:12" x14ac:dyDescent="0.35">
      <c r="B18" s="96"/>
      <c r="C18" s="96"/>
      <c r="D18" s="96" t="s">
        <v>301</v>
      </c>
      <c r="E18" s="96" t="s">
        <v>267</v>
      </c>
      <c r="F18" s="96"/>
      <c r="G18" s="96"/>
      <c r="H18" s="96" t="s">
        <v>273</v>
      </c>
      <c r="I18" s="96" t="s">
        <v>302</v>
      </c>
      <c r="J18" s="96" t="s">
        <v>254</v>
      </c>
      <c r="K18" s="97" t="s">
        <v>272</v>
      </c>
      <c r="L18" s="96" t="s">
        <v>303</v>
      </c>
    </row>
    <row r="19" spans="2:12" x14ac:dyDescent="0.35">
      <c r="D19" s="1" t="s">
        <v>304</v>
      </c>
      <c r="E19" s="115">
        <f>S14</f>
        <v>0.94384766891844951</v>
      </c>
      <c r="H19" s="116">
        <f>E19*O16</f>
        <v>565865.21389342053</v>
      </c>
      <c r="I19" s="111">
        <f>$K$16-$L$16</f>
        <v>93686.368460462763</v>
      </c>
      <c r="J19" s="116">
        <f>H19-I19</f>
        <v>472178.84543295775</v>
      </c>
      <c r="K19" s="38">
        <f>$I$16</f>
        <v>300.85989000000001</v>
      </c>
      <c r="L19" s="116">
        <f>J19/K19</f>
        <v>1569.431024630627</v>
      </c>
    </row>
    <row r="20" spans="2:12" x14ac:dyDescent="0.35">
      <c r="D20" s="1" t="s">
        <v>230</v>
      </c>
      <c r="E20" s="115">
        <f>T14</f>
        <v>16.025860743063554</v>
      </c>
      <c r="H20" s="116">
        <f>E20*P16</f>
        <v>528965.58878971264</v>
      </c>
      <c r="I20" s="111">
        <f>$K$16-$L$16</f>
        <v>93686.368460462763</v>
      </c>
      <c r="J20" s="116">
        <f>H20-I20</f>
        <v>435279.22032924986</v>
      </c>
      <c r="K20" s="38">
        <f>$I$16</f>
        <v>300.85989000000001</v>
      </c>
      <c r="L20" s="116">
        <f>J20/K20</f>
        <v>1446.7838179733758</v>
      </c>
    </row>
    <row r="21" spans="2:12" x14ac:dyDescent="0.35">
      <c r="D21" s="1" t="s">
        <v>276</v>
      </c>
      <c r="E21" s="115">
        <f>U14</f>
        <v>20.652142047494301</v>
      </c>
      <c r="H21" s="116">
        <f>I21+J21</f>
        <v>487953.0821218178</v>
      </c>
      <c r="I21" s="111">
        <f>$K$16-$L$16</f>
        <v>93686.368460462763</v>
      </c>
      <c r="J21" s="116">
        <f>E21*Q16</f>
        <v>394266.71366135502</v>
      </c>
      <c r="K21" s="38">
        <f>$I$16</f>
        <v>300.85989000000001</v>
      </c>
      <c r="L21" s="116">
        <f>J21/K21</f>
        <v>1310.4661896318416</v>
      </c>
    </row>
  </sheetData>
  <mergeCells count="2">
    <mergeCell ref="J5:K5"/>
    <mergeCell ref="P5:Q5"/>
  </mergeCells>
  <pageMargins left="0.7" right="0.7" top="0.75" bottom="0.75" header="0.3" footer="0.3"/>
</worksheet>
</file>

<file path=xl/worksheets/sheet8.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34ADD00-52A8-42A0-A826-F03C0032C566}">
  <sheetPr>
    <tabColor rgb="FFFF0000"/>
  </sheetPr>
  <dimension ref="A1:J15"/>
  <sheetViews>
    <sheetView showGridLines="0" workbookViewId="0">
      <selection activeCell="E16" sqref="E16"/>
    </sheetView>
  </sheetViews>
  <sheetFormatPr defaultRowHeight="14.5" x14ac:dyDescent="0.35"/>
  <cols>
    <col min="1" max="1" width="19.90625" customWidth="1"/>
    <col min="2" max="2" width="12.7265625" bestFit="1" customWidth="1"/>
    <col min="3" max="3" width="11.6328125" customWidth="1"/>
    <col min="4" max="4" width="22.7265625" customWidth="1"/>
    <col min="5" max="5" width="11.453125" customWidth="1"/>
    <col min="6" max="6" width="20.6328125" customWidth="1"/>
    <col min="7" max="7" width="13.453125" bestFit="1" customWidth="1"/>
    <col min="8" max="8" width="12.36328125" bestFit="1" customWidth="1"/>
    <col min="9" max="9" width="20.08984375" customWidth="1"/>
    <col min="10" max="10" width="12.90625" customWidth="1"/>
  </cols>
  <sheetData>
    <row r="1" spans="1:10" x14ac:dyDescent="0.35">
      <c r="A1" s="105" t="s">
        <v>291</v>
      </c>
      <c r="B1" s="105" t="s">
        <v>292</v>
      </c>
      <c r="C1" s="105" t="s">
        <v>293</v>
      </c>
      <c r="D1" s="105" t="s">
        <v>294</v>
      </c>
      <c r="E1" s="105" t="s">
        <v>295</v>
      </c>
      <c r="F1" s="105" t="s">
        <v>296</v>
      </c>
      <c r="G1" s="105" t="s">
        <v>297</v>
      </c>
      <c r="H1" s="105" t="s">
        <v>147</v>
      </c>
      <c r="I1" s="105" t="s">
        <v>298</v>
      </c>
      <c r="J1" s="105" t="s">
        <v>299</v>
      </c>
    </row>
    <row r="2" spans="1:10" x14ac:dyDescent="0.35">
      <c r="A2" s="106" t="s">
        <v>283</v>
      </c>
      <c r="B2" s="106" t="s">
        <v>284</v>
      </c>
      <c r="C2" s="109">
        <v>3496.9</v>
      </c>
      <c r="D2" s="109">
        <v>300.85989000000001</v>
      </c>
      <c r="E2" s="109">
        <v>116783.37526446776</v>
      </c>
      <c r="F2" s="109">
        <v>23097.006804004999</v>
      </c>
      <c r="G2" s="109">
        <v>599530.23409152741</v>
      </c>
      <c r="H2" s="109">
        <v>33007.000202386254</v>
      </c>
      <c r="I2" s="109">
        <v>19090.83874954225</v>
      </c>
      <c r="J2" s="107">
        <v>0.26421099999999997</v>
      </c>
    </row>
    <row r="3" spans="1:10" x14ac:dyDescent="0.35">
      <c r="A3" s="106"/>
      <c r="B3" s="106"/>
      <c r="C3" s="109"/>
      <c r="D3" s="109"/>
      <c r="E3" s="109"/>
      <c r="F3" s="109"/>
      <c r="G3" s="109"/>
      <c r="H3" s="109"/>
      <c r="I3" s="109"/>
      <c r="J3" s="107"/>
    </row>
    <row r="4" spans="1:10" x14ac:dyDescent="0.35">
      <c r="A4" s="106" t="s">
        <v>356</v>
      </c>
      <c r="B4" s="106" t="s">
        <v>305</v>
      </c>
      <c r="C4" s="109">
        <v>550.54999999999995</v>
      </c>
      <c r="D4" s="109">
        <v>1277.3399100000001</v>
      </c>
      <c r="E4" s="109">
        <v>134105.663475326</v>
      </c>
      <c r="F4" s="109">
        <v>72878.290249942249</v>
      </c>
      <c r="G4" s="109">
        <v>822231.30636769556</v>
      </c>
      <c r="H4" s="109">
        <v>42992.609828679997</v>
      </c>
      <c r="I4" s="109">
        <v>30815.605009011997</v>
      </c>
      <c r="J4" s="107">
        <v>0.26096800000000003</v>
      </c>
    </row>
    <row r="5" spans="1:10" x14ac:dyDescent="0.35">
      <c r="A5" s="106" t="s">
        <v>285</v>
      </c>
      <c r="B5" s="106" t="s">
        <v>286</v>
      </c>
      <c r="C5" s="109">
        <v>130.9</v>
      </c>
      <c r="D5" s="109">
        <v>667.26710000000003</v>
      </c>
      <c r="E5" s="109">
        <v>85383.807211250998</v>
      </c>
      <c r="F5" s="109">
        <v>9538.77169796825</v>
      </c>
      <c r="G5" s="109">
        <v>287548.65245810698</v>
      </c>
      <c r="H5" s="109">
        <v>20335.441261665001</v>
      </c>
      <c r="I5" s="109">
        <v>9701.0019551415007</v>
      </c>
      <c r="J5" s="278">
        <v>0.26358999999999999</v>
      </c>
    </row>
    <row r="6" spans="1:10" x14ac:dyDescent="0.35">
      <c r="A6" s="106" t="s">
        <v>287</v>
      </c>
      <c r="B6" s="106" t="s">
        <v>288</v>
      </c>
      <c r="C6" s="109">
        <v>383.65</v>
      </c>
      <c r="D6" s="109">
        <v>10321.662060000001</v>
      </c>
      <c r="E6" s="109">
        <v>554128.31408089935</v>
      </c>
      <c r="F6" s="109">
        <v>83478.067889576996</v>
      </c>
      <c r="G6" s="109">
        <v>2968960.5899858219</v>
      </c>
      <c r="H6" s="109">
        <v>169999.65988721201</v>
      </c>
      <c r="I6" s="109">
        <v>96702.991830161249</v>
      </c>
      <c r="J6" s="107">
        <v>0.253743</v>
      </c>
    </row>
    <row r="7" spans="1:10" x14ac:dyDescent="0.35">
      <c r="A7" s="106" t="s">
        <v>289</v>
      </c>
      <c r="B7" s="106" t="s">
        <v>290</v>
      </c>
      <c r="C7" s="109">
        <v>295.35000000000002</v>
      </c>
      <c r="D7" s="109">
        <v>1620.8287799999998</v>
      </c>
      <c r="E7" s="109">
        <v>255257.80759878925</v>
      </c>
      <c r="F7" s="109">
        <v>58756.054968411998</v>
      </c>
      <c r="G7" s="109">
        <v>704853.60139251174</v>
      </c>
      <c r="H7" s="109">
        <v>47315.781041125745</v>
      </c>
      <c r="I7" s="109">
        <v>25899.558279568246</v>
      </c>
      <c r="J7" s="107">
        <v>0.24563600000000002</v>
      </c>
    </row>
    <row r="11" spans="1:10" x14ac:dyDescent="0.35">
      <c r="C11" s="277"/>
      <c r="D11" s="104"/>
      <c r="E11" s="277"/>
      <c r="F11" s="277"/>
      <c r="G11" s="277"/>
      <c r="H11" s="277"/>
      <c r="I11" s="277"/>
      <c r="J11" s="276"/>
    </row>
    <row r="12" spans="1:10" x14ac:dyDescent="0.35">
      <c r="C12" s="279">
        <v>10</v>
      </c>
      <c r="D12" s="104"/>
      <c r="E12" s="277"/>
      <c r="F12" s="277"/>
      <c r="G12" s="277"/>
      <c r="H12" s="277"/>
      <c r="I12" s="277"/>
      <c r="J12" s="276"/>
    </row>
    <row r="13" spans="1:10" x14ac:dyDescent="0.35">
      <c r="C13" s="277"/>
      <c r="D13" s="104"/>
      <c r="E13" s="277"/>
      <c r="F13" s="277"/>
      <c r="G13" s="277"/>
      <c r="H13" s="277"/>
      <c r="I13" s="277"/>
      <c r="J13" s="276"/>
    </row>
    <row r="14" spans="1:10" x14ac:dyDescent="0.35">
      <c r="C14" s="277"/>
      <c r="D14" s="104"/>
      <c r="E14" s="277"/>
      <c r="F14" s="277"/>
      <c r="G14" s="277"/>
      <c r="H14" s="277"/>
      <c r="I14" s="277"/>
      <c r="J14" s="276"/>
    </row>
    <row r="15" spans="1:10" x14ac:dyDescent="0.35">
      <c r="C15" s="277"/>
      <c r="D15" s="104"/>
      <c r="E15" s="277"/>
      <c r="F15" s="277"/>
      <c r="G15" s="277"/>
      <c r="H15" s="277"/>
      <c r="I15" s="277"/>
      <c r="J15" s="276"/>
    </row>
  </sheetData>
  <pageMargins left="0.7" right="0.7" top="0.75" bottom="0.75" header="0.3" footer="0.3"/>
  <tableParts count="1">
    <tablePart r:id="rId1"/>
  </tableParts>
</worksheet>
</file>

<file path=xl/worksheets/sheet9.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A28B42CA-AF4A-4D83-AD25-941AC5EE3C1F}">
  <sheetPr>
    <tabColor rgb="FFFF0000"/>
  </sheetPr>
  <dimension ref="A1:K2483"/>
  <sheetViews>
    <sheetView showGridLines="0" workbookViewId="0">
      <selection activeCell="F9" sqref="F9"/>
    </sheetView>
  </sheetViews>
  <sheetFormatPr defaultRowHeight="14.5" x14ac:dyDescent="0.35"/>
  <cols>
    <col min="1" max="1" width="10.54296875" style="34" customWidth="1"/>
    <col min="2" max="5" width="8.7265625" style="34"/>
    <col min="6" max="6" width="26" style="34" bestFit="1" customWidth="1"/>
    <col min="7" max="7" width="12.36328125" style="34" bestFit="1" customWidth="1"/>
    <col min="8" max="16384" width="8.7265625" style="34"/>
  </cols>
  <sheetData>
    <row r="1" spans="1:11" ht="32" x14ac:dyDescent="0.7">
      <c r="A1" s="9" t="s">
        <v>1</v>
      </c>
      <c r="B1" s="10"/>
      <c r="C1" s="10"/>
      <c r="D1" s="10"/>
      <c r="E1" s="10"/>
      <c r="F1" s="10"/>
      <c r="G1" s="10"/>
      <c r="H1" s="10"/>
      <c r="I1" s="10"/>
      <c r="J1" s="9"/>
      <c r="K1" s="10"/>
    </row>
    <row r="2" spans="1:11" x14ac:dyDescent="0.35">
      <c r="A2" s="11" t="s">
        <v>267</v>
      </c>
      <c r="B2" s="10"/>
      <c r="C2" s="10"/>
      <c r="D2" s="10"/>
      <c r="E2" s="10"/>
      <c r="F2" s="10"/>
      <c r="G2" s="10"/>
      <c r="H2" s="10"/>
      <c r="I2" s="10"/>
      <c r="J2" s="11"/>
      <c r="K2" s="10"/>
    </row>
    <row r="4" spans="1:11" x14ac:dyDescent="0.35">
      <c r="A4" s="117"/>
      <c r="B4" s="117" t="s">
        <v>306</v>
      </c>
    </row>
    <row r="5" spans="1:11" x14ac:dyDescent="0.35">
      <c r="A5" s="117" t="s">
        <v>229</v>
      </c>
      <c r="B5" s="117" t="s">
        <v>307</v>
      </c>
    </row>
    <row r="6" spans="1:11" ht="15" thickBot="1" x14ac:dyDescent="0.4">
      <c r="A6" s="118">
        <v>46065</v>
      </c>
      <c r="B6" s="119">
        <v>38886.410000000003</v>
      </c>
    </row>
    <row r="7" spans="1:11" ht="15" thickBot="1" x14ac:dyDescent="0.4">
      <c r="A7" s="118">
        <v>46064</v>
      </c>
      <c r="B7" s="119">
        <v>39107.4</v>
      </c>
      <c r="F7" s="120" t="s">
        <v>306</v>
      </c>
      <c r="G7" s="120" t="s">
        <v>308</v>
      </c>
    </row>
    <row r="8" spans="1:11" ht="15" thickBot="1" x14ac:dyDescent="0.4">
      <c r="A8" s="118">
        <v>46063</v>
      </c>
      <c r="B8" s="119">
        <v>39079.22</v>
      </c>
      <c r="F8" s="120" t="s">
        <v>232</v>
      </c>
      <c r="G8" s="121">
        <f>YEARFRAC(A6,A2483)</f>
        <v>9.9916666666666671</v>
      </c>
    </row>
    <row r="9" spans="1:11" ht="15" thickBot="1" x14ac:dyDescent="0.4">
      <c r="A9" s="118">
        <v>46062</v>
      </c>
      <c r="B9" s="119">
        <v>38976.99</v>
      </c>
      <c r="F9" s="120" t="s">
        <v>309</v>
      </c>
      <c r="G9" s="122">
        <f>_xlfn.RRI(G8,B2483,B6)</f>
        <v>0.15102867273529497</v>
      </c>
    </row>
    <row r="10" spans="1:11" x14ac:dyDescent="0.35">
      <c r="A10" s="118">
        <v>46059</v>
      </c>
      <c r="B10" s="119">
        <v>38710.58</v>
      </c>
    </row>
    <row r="11" spans="1:11" x14ac:dyDescent="0.35">
      <c r="A11" s="118">
        <v>46058</v>
      </c>
      <c r="B11" s="119">
        <v>38627.94</v>
      </c>
    </row>
    <row r="12" spans="1:11" x14ac:dyDescent="0.35">
      <c r="A12" s="118">
        <v>46057</v>
      </c>
      <c r="B12" s="119">
        <v>38824.69</v>
      </c>
    </row>
    <row r="13" spans="1:11" x14ac:dyDescent="0.35">
      <c r="A13" s="118">
        <v>46056</v>
      </c>
      <c r="B13" s="119">
        <v>38751.71</v>
      </c>
    </row>
    <row r="14" spans="1:11" x14ac:dyDescent="0.35">
      <c r="A14" s="118">
        <v>46055</v>
      </c>
      <c r="B14" s="119">
        <v>37789</v>
      </c>
    </row>
    <row r="15" spans="1:11" x14ac:dyDescent="0.35">
      <c r="A15" s="118">
        <v>46054</v>
      </c>
      <c r="B15" s="119">
        <v>37392.92</v>
      </c>
    </row>
    <row r="16" spans="1:11" x14ac:dyDescent="0.35">
      <c r="A16" s="118">
        <v>46052</v>
      </c>
      <c r="B16" s="119">
        <v>38138.83</v>
      </c>
    </row>
    <row r="17" spans="1:2" x14ac:dyDescent="0.35">
      <c r="A17" s="118">
        <v>46051</v>
      </c>
      <c r="B17" s="119">
        <v>38286.86</v>
      </c>
    </row>
    <row r="18" spans="1:2" x14ac:dyDescent="0.35">
      <c r="A18" s="118">
        <v>46050</v>
      </c>
      <c r="B18" s="119">
        <v>38172.11</v>
      </c>
    </row>
    <row r="19" spans="1:2" x14ac:dyDescent="0.35">
      <c r="A19" s="118">
        <v>46049</v>
      </c>
      <c r="B19" s="119">
        <v>37920.03</v>
      </c>
    </row>
    <row r="20" spans="1:2" x14ac:dyDescent="0.35">
      <c r="A20" s="118">
        <v>46045</v>
      </c>
      <c r="B20" s="119">
        <v>37729.14</v>
      </c>
    </row>
    <row r="21" spans="1:2" x14ac:dyDescent="0.35">
      <c r="A21" s="118">
        <v>46044</v>
      </c>
      <c r="B21" s="119">
        <v>38092.550000000003</v>
      </c>
    </row>
    <row r="22" spans="1:2" x14ac:dyDescent="0.35">
      <c r="A22" s="118">
        <v>46043</v>
      </c>
      <c r="B22" s="119">
        <v>37893.11</v>
      </c>
    </row>
    <row r="23" spans="1:2" x14ac:dyDescent="0.35">
      <c r="A23" s="118">
        <v>46042</v>
      </c>
      <c r="B23" s="119">
        <v>38006.050000000003</v>
      </c>
    </row>
    <row r="24" spans="1:2" x14ac:dyDescent="0.35">
      <c r="A24" s="118">
        <v>46041</v>
      </c>
      <c r="B24" s="119">
        <v>38537.78</v>
      </c>
    </row>
    <row r="25" spans="1:2" x14ac:dyDescent="0.35">
      <c r="A25" s="118">
        <v>46038</v>
      </c>
      <c r="B25" s="119">
        <v>38701.71</v>
      </c>
    </row>
    <row r="26" spans="1:2" x14ac:dyDescent="0.35">
      <c r="A26" s="118">
        <v>46036</v>
      </c>
      <c r="B26" s="119">
        <v>38635.050000000003</v>
      </c>
    </row>
    <row r="27" spans="1:2" x14ac:dyDescent="0.35">
      <c r="A27" s="118">
        <v>46035</v>
      </c>
      <c r="B27" s="119">
        <v>38735.47</v>
      </c>
    </row>
    <row r="28" spans="1:2" x14ac:dyDescent="0.35">
      <c r="A28" s="118">
        <v>46034</v>
      </c>
      <c r="B28" s="119">
        <v>38822.720000000001</v>
      </c>
    </row>
    <row r="29" spans="1:2" x14ac:dyDescent="0.35">
      <c r="A29" s="118">
        <v>46031</v>
      </c>
      <c r="B29" s="119">
        <v>38661.67</v>
      </c>
    </row>
    <row r="30" spans="1:2" x14ac:dyDescent="0.35">
      <c r="A30" s="118">
        <v>46030</v>
      </c>
      <c r="B30" s="119">
        <v>38953.08</v>
      </c>
    </row>
    <row r="31" spans="1:2" x14ac:dyDescent="0.35">
      <c r="A31" s="118">
        <v>46029</v>
      </c>
      <c r="B31" s="119">
        <v>39350.28</v>
      </c>
    </row>
    <row r="32" spans="1:2" x14ac:dyDescent="0.35">
      <c r="A32" s="118">
        <v>46028</v>
      </c>
      <c r="B32" s="119">
        <v>39407.42</v>
      </c>
    </row>
    <row r="33" spans="1:2" x14ac:dyDescent="0.35">
      <c r="A33" s="118">
        <v>46027</v>
      </c>
      <c r="B33" s="119">
        <v>39515.230000000003</v>
      </c>
    </row>
    <row r="34" spans="1:2" x14ac:dyDescent="0.35">
      <c r="A34" s="118">
        <v>46024</v>
      </c>
      <c r="B34" s="119">
        <v>39632.99</v>
      </c>
    </row>
    <row r="35" spans="1:2" x14ac:dyDescent="0.35">
      <c r="A35" s="118">
        <v>46023</v>
      </c>
      <c r="B35" s="119">
        <v>39359.019999999997</v>
      </c>
    </row>
    <row r="36" spans="1:2" x14ac:dyDescent="0.35">
      <c r="A36" s="118">
        <v>46022</v>
      </c>
      <c r="B36" s="119">
        <v>39333.550000000003</v>
      </c>
    </row>
    <row r="37" spans="1:2" x14ac:dyDescent="0.35">
      <c r="A37" s="118">
        <v>46021</v>
      </c>
      <c r="B37" s="119">
        <v>39046.400000000001</v>
      </c>
    </row>
    <row r="38" spans="1:2" x14ac:dyDescent="0.35">
      <c r="A38" s="118">
        <v>46020</v>
      </c>
      <c r="B38" s="119">
        <v>39051.24</v>
      </c>
    </row>
    <row r="39" spans="1:2" x14ac:dyDescent="0.35">
      <c r="A39" s="118">
        <v>46017</v>
      </c>
      <c r="B39" s="119">
        <v>39202.11</v>
      </c>
    </row>
    <row r="40" spans="1:2" x14ac:dyDescent="0.35">
      <c r="A40" s="118">
        <v>46015</v>
      </c>
      <c r="B40" s="119">
        <v>39352.35</v>
      </c>
    </row>
    <row r="41" spans="1:2" x14ac:dyDescent="0.35">
      <c r="A41" s="118">
        <v>46014</v>
      </c>
      <c r="B41" s="119">
        <v>39405.1</v>
      </c>
    </row>
    <row r="42" spans="1:2" x14ac:dyDescent="0.35">
      <c r="A42" s="118">
        <v>46013</v>
      </c>
      <c r="B42" s="119">
        <v>39397.94</v>
      </c>
    </row>
    <row r="43" spans="1:2" x14ac:dyDescent="0.35">
      <c r="A43" s="118">
        <v>46010</v>
      </c>
      <c r="B43" s="119">
        <v>39087.879999999997</v>
      </c>
    </row>
    <row r="44" spans="1:2" x14ac:dyDescent="0.35">
      <c r="A44" s="118">
        <v>46009</v>
      </c>
      <c r="B44" s="119">
        <v>38860.78</v>
      </c>
    </row>
    <row r="45" spans="1:2" x14ac:dyDescent="0.35">
      <c r="A45" s="118">
        <v>46008</v>
      </c>
      <c r="B45" s="119">
        <v>38865.29</v>
      </c>
    </row>
    <row r="46" spans="1:2" x14ac:dyDescent="0.35">
      <c r="A46" s="118">
        <v>46007</v>
      </c>
      <c r="B46" s="119">
        <v>38927.870000000003</v>
      </c>
    </row>
    <row r="47" spans="1:2" x14ac:dyDescent="0.35">
      <c r="A47" s="118">
        <v>46006</v>
      </c>
      <c r="B47" s="119">
        <v>39179.54</v>
      </c>
    </row>
    <row r="48" spans="1:2" x14ac:dyDescent="0.35">
      <c r="A48" s="118">
        <v>46003</v>
      </c>
      <c r="B48" s="119">
        <v>39209.120000000003</v>
      </c>
    </row>
    <row r="49" spans="1:2" x14ac:dyDescent="0.35">
      <c r="A49" s="118">
        <v>46002</v>
      </c>
      <c r="B49" s="119">
        <v>38985.75</v>
      </c>
    </row>
    <row r="50" spans="1:2" x14ac:dyDescent="0.35">
      <c r="A50" s="118">
        <v>46001</v>
      </c>
      <c r="B50" s="119">
        <v>38774.129999999997</v>
      </c>
    </row>
    <row r="51" spans="1:2" x14ac:dyDescent="0.35">
      <c r="A51" s="118">
        <v>46000</v>
      </c>
      <c r="B51" s="119">
        <v>38897.019999999997</v>
      </c>
    </row>
    <row r="52" spans="1:2" x14ac:dyDescent="0.35">
      <c r="A52" s="118">
        <v>45999</v>
      </c>
      <c r="B52" s="119">
        <v>39079.019999999997</v>
      </c>
    </row>
    <row r="53" spans="1:2" x14ac:dyDescent="0.35">
      <c r="A53" s="118">
        <v>45996</v>
      </c>
      <c r="B53" s="119">
        <v>39419.07</v>
      </c>
    </row>
    <row r="54" spans="1:2" x14ac:dyDescent="0.35">
      <c r="A54" s="118">
        <v>45995</v>
      </c>
      <c r="B54" s="119">
        <v>39189.269999999997</v>
      </c>
    </row>
    <row r="55" spans="1:2" x14ac:dyDescent="0.35">
      <c r="A55" s="118">
        <v>45994</v>
      </c>
      <c r="B55" s="119">
        <v>39117.33</v>
      </c>
    </row>
    <row r="56" spans="1:2" x14ac:dyDescent="0.35">
      <c r="A56" s="118">
        <v>45993</v>
      </c>
      <c r="B56" s="119">
        <v>39186.92</v>
      </c>
    </row>
    <row r="57" spans="1:2" x14ac:dyDescent="0.35">
      <c r="A57" s="118">
        <v>45992</v>
      </c>
      <c r="B57" s="119">
        <v>39403.019999999997</v>
      </c>
    </row>
    <row r="58" spans="1:2" x14ac:dyDescent="0.35">
      <c r="A58" s="118">
        <v>45989</v>
      </c>
      <c r="B58" s="119">
        <v>39443.910000000003</v>
      </c>
    </row>
    <row r="59" spans="1:2" x14ac:dyDescent="0.35">
      <c r="A59" s="118">
        <v>45988</v>
      </c>
      <c r="B59" s="119">
        <v>39462.93</v>
      </c>
    </row>
    <row r="60" spans="1:2" x14ac:dyDescent="0.35">
      <c r="A60" s="118">
        <v>45987</v>
      </c>
      <c r="B60" s="119">
        <v>39447.49</v>
      </c>
    </row>
    <row r="61" spans="1:2" x14ac:dyDescent="0.35">
      <c r="A61" s="118">
        <v>45986</v>
      </c>
      <c r="B61" s="119">
        <v>38965</v>
      </c>
    </row>
    <row r="62" spans="1:2" x14ac:dyDescent="0.35">
      <c r="A62" s="118">
        <v>45985</v>
      </c>
      <c r="B62" s="119">
        <v>39077.5</v>
      </c>
    </row>
    <row r="63" spans="1:2" x14ac:dyDescent="0.35">
      <c r="A63" s="118">
        <v>45982</v>
      </c>
      <c r="B63" s="119">
        <v>39241</v>
      </c>
    </row>
    <row r="64" spans="1:2" x14ac:dyDescent="0.35">
      <c r="A64" s="118">
        <v>45981</v>
      </c>
      <c r="B64" s="119">
        <v>39427.65</v>
      </c>
    </row>
    <row r="65" spans="1:2" x14ac:dyDescent="0.35">
      <c r="A65" s="118">
        <v>45980</v>
      </c>
      <c r="B65" s="119">
        <v>39217.69</v>
      </c>
    </row>
    <row r="66" spans="1:2" x14ac:dyDescent="0.35">
      <c r="A66" s="118">
        <v>45979</v>
      </c>
      <c r="B66" s="119">
        <v>39003.01</v>
      </c>
    </row>
    <row r="67" spans="1:2" x14ac:dyDescent="0.35">
      <c r="A67" s="118">
        <v>45978</v>
      </c>
      <c r="B67" s="119">
        <v>39157.99</v>
      </c>
    </row>
    <row r="68" spans="1:2" x14ac:dyDescent="0.35">
      <c r="A68" s="118">
        <v>45975</v>
      </c>
      <c r="B68" s="119">
        <v>39002.370000000003</v>
      </c>
    </row>
    <row r="69" spans="1:2" x14ac:dyDescent="0.35">
      <c r="A69" s="118">
        <v>45974</v>
      </c>
      <c r="B69" s="119">
        <v>38955.83</v>
      </c>
    </row>
    <row r="70" spans="1:2" x14ac:dyDescent="0.35">
      <c r="A70" s="118">
        <v>45973</v>
      </c>
      <c r="B70" s="119">
        <v>38950.78</v>
      </c>
    </row>
    <row r="71" spans="1:2" x14ac:dyDescent="0.35">
      <c r="A71" s="118">
        <v>45972</v>
      </c>
      <c r="B71" s="119">
        <v>38678.54</v>
      </c>
    </row>
    <row r="72" spans="1:2" x14ac:dyDescent="0.35">
      <c r="A72" s="118">
        <v>45971</v>
      </c>
      <c r="B72" s="119">
        <v>38497.01</v>
      </c>
    </row>
    <row r="73" spans="1:2" x14ac:dyDescent="0.35">
      <c r="A73" s="118">
        <v>45968</v>
      </c>
      <c r="B73" s="119">
        <v>38366.879999999997</v>
      </c>
    </row>
    <row r="74" spans="1:2" x14ac:dyDescent="0.35">
      <c r="A74" s="118">
        <v>45967</v>
      </c>
      <c r="B74" s="119">
        <v>38381.019999999997</v>
      </c>
    </row>
    <row r="75" spans="1:2" x14ac:dyDescent="0.35">
      <c r="A75" s="118">
        <v>45965</v>
      </c>
      <c r="B75" s="119">
        <v>38513.370000000003</v>
      </c>
    </row>
    <row r="76" spans="1:2" x14ac:dyDescent="0.35">
      <c r="A76" s="118">
        <v>45964</v>
      </c>
      <c r="B76" s="119">
        <v>38762.65</v>
      </c>
    </row>
    <row r="77" spans="1:2" x14ac:dyDescent="0.35">
      <c r="A77" s="118">
        <v>45961</v>
      </c>
      <c r="B77" s="119">
        <v>38700.6</v>
      </c>
    </row>
    <row r="78" spans="1:2" x14ac:dyDescent="0.35">
      <c r="A78" s="118">
        <v>45960</v>
      </c>
      <c r="B78" s="119">
        <v>38934.92</v>
      </c>
    </row>
    <row r="79" spans="1:2" x14ac:dyDescent="0.35">
      <c r="A79" s="118">
        <v>45959</v>
      </c>
      <c r="B79" s="119">
        <v>39199.800000000003</v>
      </c>
    </row>
    <row r="80" spans="1:2" x14ac:dyDescent="0.35">
      <c r="A80" s="118">
        <v>45958</v>
      </c>
      <c r="B80" s="119">
        <v>39022.730000000003</v>
      </c>
    </row>
    <row r="81" spans="1:2" x14ac:dyDescent="0.35">
      <c r="A81" s="118">
        <v>45957</v>
      </c>
      <c r="B81" s="119">
        <v>39067.589999999997</v>
      </c>
    </row>
    <row r="82" spans="1:2" x14ac:dyDescent="0.35">
      <c r="A82" s="118">
        <v>45954</v>
      </c>
      <c r="B82" s="119">
        <v>38783.54</v>
      </c>
    </row>
    <row r="83" spans="1:2" x14ac:dyDescent="0.35">
      <c r="A83" s="118">
        <v>45953</v>
      </c>
      <c r="B83" s="119">
        <v>38928.230000000003</v>
      </c>
    </row>
    <row r="84" spans="1:2" x14ac:dyDescent="0.35">
      <c r="A84" s="118">
        <v>45951</v>
      </c>
      <c r="B84" s="119">
        <v>38893.949999999997</v>
      </c>
    </row>
    <row r="85" spans="1:2" x14ac:dyDescent="0.35">
      <c r="A85" s="118">
        <v>45950</v>
      </c>
      <c r="B85" s="119">
        <v>38855.68</v>
      </c>
    </row>
    <row r="86" spans="1:2" x14ac:dyDescent="0.35">
      <c r="A86" s="118">
        <v>45947</v>
      </c>
      <c r="B86" s="119">
        <v>38652.19</v>
      </c>
    </row>
    <row r="87" spans="1:2" x14ac:dyDescent="0.35">
      <c r="A87" s="118">
        <v>45946</v>
      </c>
      <c r="B87" s="119">
        <v>38460.730000000003</v>
      </c>
    </row>
    <row r="88" spans="1:2" x14ac:dyDescent="0.35">
      <c r="A88" s="118">
        <v>45945</v>
      </c>
      <c r="B88" s="119">
        <v>38067.31</v>
      </c>
    </row>
    <row r="89" spans="1:2" x14ac:dyDescent="0.35">
      <c r="A89" s="118">
        <v>45944</v>
      </c>
      <c r="B89" s="119">
        <v>37795.97</v>
      </c>
    </row>
    <row r="90" spans="1:2" x14ac:dyDescent="0.35">
      <c r="A90" s="118">
        <v>45943</v>
      </c>
      <c r="B90" s="119">
        <v>37918.980000000003</v>
      </c>
    </row>
    <row r="91" spans="1:2" x14ac:dyDescent="0.35">
      <c r="A91" s="118">
        <v>45940</v>
      </c>
      <c r="B91" s="119">
        <v>38006.18</v>
      </c>
    </row>
    <row r="92" spans="1:2" x14ac:dyDescent="0.35">
      <c r="A92" s="118">
        <v>45939</v>
      </c>
      <c r="B92" s="119">
        <v>37850.519999999997</v>
      </c>
    </row>
    <row r="93" spans="1:2" x14ac:dyDescent="0.35">
      <c r="A93" s="118">
        <v>45938</v>
      </c>
      <c r="B93" s="119">
        <v>37646.65</v>
      </c>
    </row>
    <row r="94" spans="1:2" x14ac:dyDescent="0.35">
      <c r="A94" s="118">
        <v>45937</v>
      </c>
      <c r="B94" s="119">
        <v>37740.1</v>
      </c>
    </row>
    <row r="95" spans="1:2" x14ac:dyDescent="0.35">
      <c r="A95" s="118">
        <v>45936</v>
      </c>
      <c r="B95" s="119">
        <v>37694.019999999997</v>
      </c>
    </row>
    <row r="96" spans="1:2" x14ac:dyDescent="0.35">
      <c r="A96" s="118">
        <v>45933</v>
      </c>
      <c r="B96" s="119">
        <v>37418.300000000003</v>
      </c>
    </row>
    <row r="97" spans="1:2" x14ac:dyDescent="0.35">
      <c r="A97" s="118">
        <v>45931</v>
      </c>
      <c r="B97" s="119">
        <v>37331.199999999997</v>
      </c>
    </row>
    <row r="98" spans="1:2" x14ac:dyDescent="0.35">
      <c r="A98" s="118">
        <v>45930</v>
      </c>
      <c r="B98" s="119">
        <v>36992.699999999997</v>
      </c>
    </row>
    <row r="99" spans="1:2" x14ac:dyDescent="0.35">
      <c r="A99" s="118">
        <v>45929</v>
      </c>
      <c r="B99" s="119">
        <v>37028.480000000003</v>
      </c>
    </row>
    <row r="100" spans="1:2" x14ac:dyDescent="0.35">
      <c r="A100" s="118">
        <v>45926</v>
      </c>
      <c r="B100" s="119">
        <v>37058.300000000003</v>
      </c>
    </row>
    <row r="101" spans="1:2" x14ac:dyDescent="0.35">
      <c r="A101" s="118">
        <v>45925</v>
      </c>
      <c r="B101" s="119">
        <v>37413.25</v>
      </c>
    </row>
    <row r="102" spans="1:2" x14ac:dyDescent="0.35">
      <c r="A102" s="118">
        <v>45924</v>
      </c>
      <c r="B102" s="119">
        <v>37662.839999999997</v>
      </c>
    </row>
    <row r="103" spans="1:2" x14ac:dyDescent="0.35">
      <c r="A103" s="118">
        <v>45923</v>
      </c>
      <c r="B103" s="119">
        <v>37832.089999999997</v>
      </c>
    </row>
    <row r="104" spans="1:2" x14ac:dyDescent="0.35">
      <c r="A104" s="118">
        <v>45922</v>
      </c>
      <c r="B104" s="119">
        <v>37881.410000000003</v>
      </c>
    </row>
    <row r="105" spans="1:2" x14ac:dyDescent="0.35">
      <c r="A105" s="118">
        <v>45919</v>
      </c>
      <c r="B105" s="119">
        <v>38068.839999999997</v>
      </c>
    </row>
    <row r="106" spans="1:2" x14ac:dyDescent="0.35">
      <c r="A106" s="118">
        <v>45918</v>
      </c>
      <c r="B106" s="119">
        <v>38213.97</v>
      </c>
    </row>
    <row r="107" spans="1:2" x14ac:dyDescent="0.35">
      <c r="A107" s="118">
        <v>45917</v>
      </c>
      <c r="B107" s="119">
        <v>38073.65</v>
      </c>
    </row>
    <row r="108" spans="1:2" x14ac:dyDescent="0.35">
      <c r="A108" s="118">
        <v>45916</v>
      </c>
      <c r="B108" s="119">
        <v>37936.660000000003</v>
      </c>
    </row>
    <row r="109" spans="1:2" x14ac:dyDescent="0.35">
      <c r="A109" s="118">
        <v>45915</v>
      </c>
      <c r="B109" s="119">
        <v>37681.33</v>
      </c>
    </row>
    <row r="110" spans="1:2" x14ac:dyDescent="0.35">
      <c r="A110" s="118">
        <v>45912</v>
      </c>
      <c r="B110" s="119">
        <v>37748.61</v>
      </c>
    </row>
    <row r="111" spans="1:2" x14ac:dyDescent="0.35">
      <c r="A111" s="118">
        <v>45911</v>
      </c>
      <c r="B111" s="119">
        <v>37585.519999999997</v>
      </c>
    </row>
    <row r="112" spans="1:2" x14ac:dyDescent="0.35">
      <c r="A112" s="118">
        <v>45910</v>
      </c>
      <c r="B112" s="119">
        <v>37536.879999999997</v>
      </c>
    </row>
    <row r="113" spans="1:2" x14ac:dyDescent="0.35">
      <c r="A113" s="118">
        <v>45909</v>
      </c>
      <c r="B113" s="119">
        <v>37379.78</v>
      </c>
    </row>
    <row r="114" spans="1:2" x14ac:dyDescent="0.35">
      <c r="A114" s="118">
        <v>45908</v>
      </c>
      <c r="B114" s="119">
        <v>37236.28</v>
      </c>
    </row>
    <row r="115" spans="1:2" x14ac:dyDescent="0.35">
      <c r="A115" s="118">
        <v>45905</v>
      </c>
      <c r="B115" s="119">
        <v>37188.019999999997</v>
      </c>
    </row>
    <row r="116" spans="1:2" x14ac:dyDescent="0.35">
      <c r="A116" s="118">
        <v>45904</v>
      </c>
      <c r="B116" s="119">
        <v>37177.94</v>
      </c>
    </row>
    <row r="117" spans="1:2" x14ac:dyDescent="0.35">
      <c r="A117" s="118">
        <v>45903</v>
      </c>
      <c r="B117" s="119">
        <v>37142.11</v>
      </c>
    </row>
    <row r="118" spans="1:2" x14ac:dyDescent="0.35">
      <c r="A118" s="118">
        <v>45902</v>
      </c>
      <c r="B118" s="119">
        <v>36938.57</v>
      </c>
    </row>
    <row r="119" spans="1:2" x14ac:dyDescent="0.35">
      <c r="A119" s="118">
        <v>45901</v>
      </c>
      <c r="B119" s="119">
        <v>37006.870000000003</v>
      </c>
    </row>
    <row r="120" spans="1:2" x14ac:dyDescent="0.35">
      <c r="A120" s="118">
        <v>45898</v>
      </c>
      <c r="B120" s="119">
        <v>36709</v>
      </c>
    </row>
    <row r="121" spans="1:2" x14ac:dyDescent="0.35">
      <c r="A121" s="118">
        <v>45897</v>
      </c>
      <c r="B121" s="119">
        <v>36820.25</v>
      </c>
    </row>
    <row r="122" spans="1:2" x14ac:dyDescent="0.35">
      <c r="A122" s="118">
        <v>45895</v>
      </c>
      <c r="B122" s="119">
        <v>37137.57</v>
      </c>
    </row>
    <row r="123" spans="1:2" x14ac:dyDescent="0.35">
      <c r="A123" s="118">
        <v>45894</v>
      </c>
      <c r="B123" s="119">
        <v>37521.9</v>
      </c>
    </row>
    <row r="124" spans="1:2" x14ac:dyDescent="0.35">
      <c r="A124" s="118">
        <v>45891</v>
      </c>
      <c r="B124" s="119">
        <v>37375.089999999997</v>
      </c>
    </row>
    <row r="125" spans="1:2" x14ac:dyDescent="0.35">
      <c r="A125" s="118">
        <v>45890</v>
      </c>
      <c r="B125" s="119">
        <v>37696.230000000003</v>
      </c>
    </row>
    <row r="126" spans="1:2" x14ac:dyDescent="0.35">
      <c r="A126" s="118">
        <v>45889</v>
      </c>
      <c r="B126" s="119">
        <v>37642.410000000003</v>
      </c>
    </row>
    <row r="127" spans="1:2" x14ac:dyDescent="0.35">
      <c r="A127" s="118">
        <v>45888</v>
      </c>
      <c r="B127" s="119">
        <v>37537.42</v>
      </c>
    </row>
    <row r="128" spans="1:2" x14ac:dyDescent="0.35">
      <c r="A128" s="118">
        <v>45887</v>
      </c>
      <c r="B128" s="119">
        <v>37379.379999999997</v>
      </c>
    </row>
    <row r="129" spans="1:2" x14ac:dyDescent="0.35">
      <c r="A129" s="118">
        <v>45883</v>
      </c>
      <c r="B129" s="119">
        <v>37010.269999999997</v>
      </c>
    </row>
    <row r="130" spans="1:2" x14ac:dyDescent="0.35">
      <c r="A130" s="118">
        <v>45882</v>
      </c>
      <c r="B130" s="119">
        <v>36978.89</v>
      </c>
    </row>
    <row r="131" spans="1:2" x14ac:dyDescent="0.35">
      <c r="A131" s="118">
        <v>45881</v>
      </c>
      <c r="B131" s="119">
        <v>36780.730000000003</v>
      </c>
    </row>
    <row r="132" spans="1:2" x14ac:dyDescent="0.35">
      <c r="A132" s="118">
        <v>45880</v>
      </c>
      <c r="B132" s="119">
        <v>36900.03</v>
      </c>
    </row>
    <row r="133" spans="1:2" x14ac:dyDescent="0.35">
      <c r="A133" s="118">
        <v>45877</v>
      </c>
      <c r="B133" s="119">
        <v>36566.629999999997</v>
      </c>
    </row>
    <row r="134" spans="1:2" x14ac:dyDescent="0.35">
      <c r="A134" s="118">
        <v>45876</v>
      </c>
      <c r="B134" s="119">
        <v>36913.760000000002</v>
      </c>
    </row>
    <row r="135" spans="1:2" x14ac:dyDescent="0.35">
      <c r="A135" s="118">
        <v>45875</v>
      </c>
      <c r="B135" s="119">
        <v>36880.81</v>
      </c>
    </row>
    <row r="136" spans="1:2" x14ac:dyDescent="0.35">
      <c r="A136" s="118">
        <v>45874</v>
      </c>
      <c r="B136" s="119">
        <v>36989.75</v>
      </c>
    </row>
    <row r="137" spans="1:2" x14ac:dyDescent="0.35">
      <c r="A137" s="118">
        <v>45873</v>
      </c>
      <c r="B137" s="119">
        <v>37099.550000000003</v>
      </c>
    </row>
    <row r="138" spans="1:2" x14ac:dyDescent="0.35">
      <c r="A138" s="118">
        <v>45870</v>
      </c>
      <c r="B138" s="119">
        <v>36863.4</v>
      </c>
    </row>
    <row r="139" spans="1:2" x14ac:dyDescent="0.35">
      <c r="A139" s="118">
        <v>45869</v>
      </c>
      <c r="B139" s="119">
        <v>37158.879999999997</v>
      </c>
    </row>
    <row r="140" spans="1:2" x14ac:dyDescent="0.35">
      <c r="A140" s="118">
        <v>45868</v>
      </c>
      <c r="B140" s="119">
        <v>37288.94</v>
      </c>
    </row>
    <row r="141" spans="1:2" x14ac:dyDescent="0.35">
      <c r="A141" s="118">
        <v>45867</v>
      </c>
      <c r="B141" s="119">
        <v>37238.03</v>
      </c>
    </row>
    <row r="142" spans="1:2" x14ac:dyDescent="0.35">
      <c r="A142" s="118">
        <v>45866</v>
      </c>
      <c r="B142" s="119">
        <v>37027.65</v>
      </c>
    </row>
    <row r="143" spans="1:2" x14ac:dyDescent="0.35">
      <c r="A143" s="118">
        <v>45863</v>
      </c>
      <c r="B143" s="119">
        <v>37257.14</v>
      </c>
    </row>
    <row r="144" spans="1:2" x14ac:dyDescent="0.35">
      <c r="A144" s="118">
        <v>45862</v>
      </c>
      <c r="B144" s="119">
        <v>37578.97</v>
      </c>
    </row>
    <row r="145" spans="1:2" x14ac:dyDescent="0.35">
      <c r="A145" s="118">
        <v>45861</v>
      </c>
      <c r="B145" s="119">
        <v>37812.76</v>
      </c>
    </row>
    <row r="146" spans="1:2" x14ac:dyDescent="0.35">
      <c r="A146" s="118">
        <v>45860</v>
      </c>
      <c r="B146" s="119">
        <v>37574.379999999997</v>
      </c>
    </row>
    <row r="147" spans="1:2" x14ac:dyDescent="0.35">
      <c r="A147" s="118">
        <v>45859</v>
      </c>
      <c r="B147" s="119">
        <v>37619.089999999997</v>
      </c>
    </row>
    <row r="148" spans="1:2" x14ac:dyDescent="0.35">
      <c r="A148" s="118">
        <v>45856</v>
      </c>
      <c r="B148" s="119">
        <v>37435.72</v>
      </c>
    </row>
    <row r="149" spans="1:2" x14ac:dyDescent="0.35">
      <c r="A149" s="118">
        <v>45855</v>
      </c>
      <c r="B149" s="119">
        <v>37630.21</v>
      </c>
    </row>
    <row r="150" spans="1:2" x14ac:dyDescent="0.35">
      <c r="A150" s="118">
        <v>45854</v>
      </c>
      <c r="B150" s="119">
        <v>37780.94</v>
      </c>
    </row>
    <row r="151" spans="1:2" x14ac:dyDescent="0.35">
      <c r="A151" s="118">
        <v>45853</v>
      </c>
      <c r="B151" s="119">
        <v>37752.92</v>
      </c>
    </row>
    <row r="152" spans="1:2" x14ac:dyDescent="0.35">
      <c r="A152" s="118">
        <v>45852</v>
      </c>
      <c r="B152" s="119">
        <v>37582.839999999997</v>
      </c>
    </row>
    <row r="153" spans="1:2" x14ac:dyDescent="0.35">
      <c r="A153" s="118">
        <v>45849</v>
      </c>
      <c r="B153" s="119">
        <v>37684.07</v>
      </c>
    </row>
    <row r="154" spans="1:2" x14ac:dyDescent="0.35">
      <c r="A154" s="118">
        <v>45848</v>
      </c>
      <c r="B154" s="119">
        <v>37990.410000000003</v>
      </c>
    </row>
    <row r="155" spans="1:2" x14ac:dyDescent="0.35">
      <c r="A155" s="118">
        <v>45847</v>
      </c>
      <c r="B155" s="119">
        <v>38169.85</v>
      </c>
    </row>
    <row r="156" spans="1:2" x14ac:dyDescent="0.35">
      <c r="A156" s="118">
        <v>45846</v>
      </c>
      <c r="B156" s="119">
        <v>38239.39</v>
      </c>
    </row>
    <row r="157" spans="1:2" x14ac:dyDescent="0.35">
      <c r="A157" s="118">
        <v>45845</v>
      </c>
      <c r="B157" s="119">
        <v>38145.33</v>
      </c>
    </row>
    <row r="158" spans="1:2" x14ac:dyDescent="0.35">
      <c r="A158" s="118">
        <v>45842</v>
      </c>
      <c r="B158" s="119">
        <v>38142.94</v>
      </c>
    </row>
    <row r="159" spans="1:2" x14ac:dyDescent="0.35">
      <c r="A159" s="118">
        <v>45841</v>
      </c>
      <c r="B159" s="119">
        <v>38049.97</v>
      </c>
    </row>
    <row r="160" spans="1:2" x14ac:dyDescent="0.35">
      <c r="A160" s="118">
        <v>45840</v>
      </c>
      <c r="B160" s="119">
        <v>38121.99</v>
      </c>
    </row>
    <row r="161" spans="1:2" x14ac:dyDescent="0.35">
      <c r="A161" s="118">
        <v>45839</v>
      </c>
      <c r="B161" s="119">
        <v>38254.39</v>
      </c>
    </row>
    <row r="162" spans="1:2" x14ac:dyDescent="0.35">
      <c r="A162" s="118">
        <v>45838</v>
      </c>
      <c r="B162" s="119">
        <v>38217.32</v>
      </c>
    </row>
    <row r="163" spans="1:2" x14ac:dyDescent="0.35">
      <c r="A163" s="118">
        <v>45835</v>
      </c>
      <c r="B163" s="119">
        <v>38398.230000000003</v>
      </c>
    </row>
    <row r="164" spans="1:2" x14ac:dyDescent="0.35">
      <c r="A164" s="118">
        <v>45834</v>
      </c>
      <c r="B164" s="119">
        <v>38206.879999999997</v>
      </c>
    </row>
    <row r="165" spans="1:2" x14ac:dyDescent="0.35">
      <c r="A165" s="118">
        <v>45833</v>
      </c>
      <c r="B165" s="119">
        <v>37751.94</v>
      </c>
    </row>
    <row r="166" spans="1:2" x14ac:dyDescent="0.35">
      <c r="A166" s="118">
        <v>45832</v>
      </c>
      <c r="B166" s="119">
        <v>37452.239999999998</v>
      </c>
    </row>
    <row r="167" spans="1:2" x14ac:dyDescent="0.35">
      <c r="A167" s="118">
        <v>45831</v>
      </c>
      <c r="B167" s="119">
        <v>37343.910000000003</v>
      </c>
    </row>
    <row r="168" spans="1:2" x14ac:dyDescent="0.35">
      <c r="A168" s="118">
        <v>45828</v>
      </c>
      <c r="B168" s="119">
        <v>37546.89</v>
      </c>
    </row>
    <row r="169" spans="1:2" x14ac:dyDescent="0.35">
      <c r="A169" s="118">
        <v>45827</v>
      </c>
      <c r="B169" s="119">
        <v>37069.019999999997</v>
      </c>
    </row>
    <row r="170" spans="1:2" x14ac:dyDescent="0.35">
      <c r="A170" s="118">
        <v>45826</v>
      </c>
      <c r="B170" s="119">
        <v>37097.129999999997</v>
      </c>
    </row>
    <row r="171" spans="1:2" x14ac:dyDescent="0.35">
      <c r="A171" s="118">
        <v>45825</v>
      </c>
      <c r="B171" s="119">
        <v>37158.949999999997</v>
      </c>
    </row>
    <row r="172" spans="1:2" x14ac:dyDescent="0.35">
      <c r="A172" s="118">
        <v>45824</v>
      </c>
      <c r="B172" s="119">
        <v>37298.120000000003</v>
      </c>
    </row>
    <row r="173" spans="1:2" x14ac:dyDescent="0.35">
      <c r="A173" s="118">
        <v>45821</v>
      </c>
      <c r="B173" s="119">
        <v>36957.379999999997</v>
      </c>
    </row>
    <row r="174" spans="1:2" x14ac:dyDescent="0.35">
      <c r="A174" s="118">
        <v>45820</v>
      </c>
      <c r="B174" s="119">
        <v>37209.11</v>
      </c>
    </row>
    <row r="175" spans="1:2" x14ac:dyDescent="0.35">
      <c r="A175" s="118">
        <v>45819</v>
      </c>
      <c r="B175" s="119">
        <v>37587.31</v>
      </c>
    </row>
    <row r="176" spans="1:2" x14ac:dyDescent="0.35">
      <c r="A176" s="118">
        <v>45818</v>
      </c>
      <c r="B176" s="119">
        <v>37531.760000000002</v>
      </c>
    </row>
    <row r="177" spans="1:2" x14ac:dyDescent="0.35">
      <c r="A177" s="118">
        <v>45817</v>
      </c>
      <c r="B177" s="119">
        <v>37527.120000000003</v>
      </c>
    </row>
    <row r="178" spans="1:2" x14ac:dyDescent="0.35">
      <c r="A178" s="118">
        <v>45814</v>
      </c>
      <c r="B178" s="119">
        <v>37377.42</v>
      </c>
    </row>
    <row r="179" spans="1:2" x14ac:dyDescent="0.35">
      <c r="A179" s="118">
        <v>45813</v>
      </c>
      <c r="B179" s="119">
        <v>37000.49</v>
      </c>
    </row>
    <row r="180" spans="1:2" x14ac:dyDescent="0.35">
      <c r="A180" s="118">
        <v>45812</v>
      </c>
      <c r="B180" s="119">
        <v>36805.089999999997</v>
      </c>
    </row>
    <row r="181" spans="1:2" x14ac:dyDescent="0.35">
      <c r="A181" s="118">
        <v>45811</v>
      </c>
      <c r="B181" s="119">
        <v>36674.69</v>
      </c>
    </row>
    <row r="182" spans="1:2" x14ac:dyDescent="0.35">
      <c r="A182" s="118">
        <v>45810</v>
      </c>
      <c r="B182" s="119">
        <v>36921.620000000003</v>
      </c>
    </row>
    <row r="183" spans="1:2" x14ac:dyDescent="0.35">
      <c r="A183" s="118">
        <v>45807</v>
      </c>
      <c r="B183" s="119">
        <v>36972.5</v>
      </c>
    </row>
    <row r="184" spans="1:2" x14ac:dyDescent="0.35">
      <c r="A184" s="118">
        <v>45806</v>
      </c>
      <c r="B184" s="119">
        <v>37066.339999999997</v>
      </c>
    </row>
    <row r="185" spans="1:2" x14ac:dyDescent="0.35">
      <c r="A185" s="118">
        <v>45805</v>
      </c>
      <c r="B185" s="119">
        <v>36943.42</v>
      </c>
    </row>
    <row r="186" spans="1:2" x14ac:dyDescent="0.35">
      <c r="A186" s="118">
        <v>45804</v>
      </c>
      <c r="B186" s="119">
        <v>37029.33</v>
      </c>
    </row>
    <row r="187" spans="1:2" x14ac:dyDescent="0.35">
      <c r="A187" s="118">
        <v>45803</v>
      </c>
      <c r="B187" s="119">
        <v>37290.300000000003</v>
      </c>
    </row>
    <row r="188" spans="1:2" x14ac:dyDescent="0.35">
      <c r="A188" s="118">
        <v>45800</v>
      </c>
      <c r="B188" s="119">
        <v>37069.550000000003</v>
      </c>
    </row>
    <row r="189" spans="1:2" x14ac:dyDescent="0.35">
      <c r="A189" s="118">
        <v>45799</v>
      </c>
      <c r="B189" s="119">
        <v>36706.44</v>
      </c>
    </row>
    <row r="190" spans="1:2" x14ac:dyDescent="0.35">
      <c r="A190" s="118">
        <v>45798</v>
      </c>
      <c r="B190" s="119">
        <v>37010.35</v>
      </c>
    </row>
    <row r="191" spans="1:2" x14ac:dyDescent="0.35">
      <c r="A191" s="118">
        <v>45797</v>
      </c>
      <c r="B191" s="119">
        <v>36817.14</v>
      </c>
    </row>
    <row r="192" spans="1:2" x14ac:dyDescent="0.35">
      <c r="A192" s="118">
        <v>45796</v>
      </c>
      <c r="B192" s="119">
        <v>37207.25</v>
      </c>
    </row>
    <row r="193" spans="1:2" x14ac:dyDescent="0.35">
      <c r="A193" s="118">
        <v>45793</v>
      </c>
      <c r="B193" s="119">
        <v>37318.129999999997</v>
      </c>
    </row>
    <row r="194" spans="1:2" x14ac:dyDescent="0.35">
      <c r="A194" s="118">
        <v>45792</v>
      </c>
      <c r="B194" s="119">
        <v>37361.050000000003</v>
      </c>
    </row>
    <row r="195" spans="1:2" x14ac:dyDescent="0.35">
      <c r="A195" s="118">
        <v>45791</v>
      </c>
      <c r="B195" s="119">
        <v>36771.94</v>
      </c>
    </row>
    <row r="196" spans="1:2" x14ac:dyDescent="0.35">
      <c r="A196" s="118">
        <v>45790</v>
      </c>
      <c r="B196" s="119">
        <v>36639.870000000003</v>
      </c>
    </row>
    <row r="197" spans="1:2" x14ac:dyDescent="0.35">
      <c r="A197" s="118">
        <v>45789</v>
      </c>
      <c r="B197" s="119">
        <v>37156.25</v>
      </c>
    </row>
    <row r="198" spans="1:2" x14ac:dyDescent="0.35">
      <c r="A198" s="118">
        <v>45786</v>
      </c>
      <c r="B198" s="119">
        <v>35789.629999999997</v>
      </c>
    </row>
    <row r="199" spans="1:2" x14ac:dyDescent="0.35">
      <c r="A199" s="118">
        <v>45785</v>
      </c>
      <c r="B199" s="119">
        <v>36184.82</v>
      </c>
    </row>
    <row r="200" spans="1:2" x14ac:dyDescent="0.35">
      <c r="A200" s="118">
        <v>45784</v>
      </c>
      <c r="B200" s="119">
        <v>36394.46</v>
      </c>
    </row>
    <row r="201" spans="1:2" x14ac:dyDescent="0.35">
      <c r="A201" s="118">
        <v>45783</v>
      </c>
      <c r="B201" s="119">
        <v>36342.6</v>
      </c>
    </row>
    <row r="202" spans="1:2" x14ac:dyDescent="0.35">
      <c r="A202" s="118">
        <v>45782</v>
      </c>
      <c r="B202" s="119">
        <v>36464.1</v>
      </c>
    </row>
    <row r="203" spans="1:2" x14ac:dyDescent="0.35">
      <c r="A203" s="118">
        <v>45779</v>
      </c>
      <c r="B203" s="119">
        <v>36293.51</v>
      </c>
    </row>
    <row r="204" spans="1:2" x14ac:dyDescent="0.35">
      <c r="A204" s="118">
        <v>45777</v>
      </c>
      <c r="B204" s="119">
        <v>36274.870000000003</v>
      </c>
    </row>
    <row r="205" spans="1:2" x14ac:dyDescent="0.35">
      <c r="A205" s="118">
        <v>45776</v>
      </c>
      <c r="B205" s="119">
        <v>36277.480000000003</v>
      </c>
    </row>
    <row r="206" spans="1:2" x14ac:dyDescent="0.35">
      <c r="A206" s="118">
        <v>45775</v>
      </c>
      <c r="B206" s="119">
        <v>36266.410000000003</v>
      </c>
    </row>
    <row r="207" spans="1:2" x14ac:dyDescent="0.35">
      <c r="A207" s="118">
        <v>45772</v>
      </c>
      <c r="B207" s="119">
        <v>35829.160000000003</v>
      </c>
    </row>
    <row r="208" spans="1:2" x14ac:dyDescent="0.35">
      <c r="A208" s="118">
        <v>45771</v>
      </c>
      <c r="B208" s="119">
        <v>36138.21</v>
      </c>
    </row>
    <row r="209" spans="1:2" x14ac:dyDescent="0.35">
      <c r="A209" s="118">
        <v>45770</v>
      </c>
      <c r="B209" s="119">
        <v>36260.74</v>
      </c>
    </row>
    <row r="210" spans="1:2" x14ac:dyDescent="0.35">
      <c r="A210" s="118">
        <v>45769</v>
      </c>
      <c r="B210" s="119">
        <v>36019.75</v>
      </c>
    </row>
    <row r="211" spans="1:2" x14ac:dyDescent="0.35">
      <c r="A211" s="118">
        <v>45768</v>
      </c>
      <c r="B211" s="119">
        <v>35957.620000000003</v>
      </c>
    </row>
    <row r="212" spans="1:2" x14ac:dyDescent="0.35">
      <c r="A212" s="118">
        <v>45764</v>
      </c>
      <c r="B212" s="119">
        <v>35549.39</v>
      </c>
    </row>
    <row r="213" spans="1:2" x14ac:dyDescent="0.35">
      <c r="A213" s="118">
        <v>45763</v>
      </c>
      <c r="B213" s="119">
        <v>34931.660000000003</v>
      </c>
    </row>
    <row r="214" spans="1:2" x14ac:dyDescent="0.35">
      <c r="A214" s="118">
        <v>45762</v>
      </c>
      <c r="B214" s="119">
        <v>34769.71</v>
      </c>
    </row>
    <row r="215" spans="1:2" x14ac:dyDescent="0.35">
      <c r="A215" s="118">
        <v>45758</v>
      </c>
      <c r="B215" s="119">
        <v>34024.5</v>
      </c>
    </row>
    <row r="216" spans="1:2" x14ac:dyDescent="0.35">
      <c r="A216" s="118">
        <v>45756</v>
      </c>
      <c r="B216" s="119">
        <v>33384.559999999998</v>
      </c>
    </row>
    <row r="217" spans="1:2" x14ac:dyDescent="0.35">
      <c r="A217" s="118">
        <v>45755</v>
      </c>
      <c r="B217" s="119">
        <v>33588.28</v>
      </c>
    </row>
    <row r="218" spans="1:2" x14ac:dyDescent="0.35">
      <c r="A218" s="118">
        <v>45754</v>
      </c>
      <c r="B218" s="119">
        <v>33030.49</v>
      </c>
    </row>
    <row r="219" spans="1:2" x14ac:dyDescent="0.35">
      <c r="A219" s="118">
        <v>45751</v>
      </c>
      <c r="B219" s="119">
        <v>34137.61</v>
      </c>
    </row>
    <row r="220" spans="1:2" x14ac:dyDescent="0.35">
      <c r="A220" s="118">
        <v>45750</v>
      </c>
      <c r="B220" s="119">
        <v>34652.839999999997</v>
      </c>
    </row>
    <row r="221" spans="1:2" x14ac:dyDescent="0.35">
      <c r="A221" s="118">
        <v>45749</v>
      </c>
      <c r="B221" s="119">
        <v>34775.4</v>
      </c>
    </row>
    <row r="222" spans="1:2" x14ac:dyDescent="0.35">
      <c r="A222" s="118">
        <v>45748</v>
      </c>
      <c r="B222" s="119">
        <v>34527.01</v>
      </c>
    </row>
    <row r="223" spans="1:2" x14ac:dyDescent="0.35">
      <c r="A223" s="118">
        <v>45744</v>
      </c>
      <c r="B223" s="119">
        <v>35054.080000000002</v>
      </c>
    </row>
    <row r="224" spans="1:2" x14ac:dyDescent="0.35">
      <c r="A224" s="118">
        <v>45743</v>
      </c>
      <c r="B224" s="119">
        <v>35162.32</v>
      </c>
    </row>
    <row r="225" spans="1:2" x14ac:dyDescent="0.35">
      <c r="A225" s="118">
        <v>45742</v>
      </c>
      <c r="B225" s="119">
        <v>35005.67</v>
      </c>
    </row>
    <row r="226" spans="1:2" x14ac:dyDescent="0.35">
      <c r="A226" s="118">
        <v>45741</v>
      </c>
      <c r="B226" s="119">
        <v>35276.65</v>
      </c>
    </row>
    <row r="227" spans="1:2" x14ac:dyDescent="0.35">
      <c r="A227" s="118">
        <v>45740</v>
      </c>
      <c r="B227" s="119">
        <v>35261.269999999997</v>
      </c>
    </row>
    <row r="228" spans="1:2" x14ac:dyDescent="0.35">
      <c r="A228" s="118">
        <v>45737</v>
      </c>
      <c r="B228" s="119">
        <v>34802.300000000003</v>
      </c>
    </row>
    <row r="229" spans="1:2" x14ac:dyDescent="0.35">
      <c r="A229" s="118">
        <v>45736</v>
      </c>
      <c r="B229" s="119">
        <v>34564.18</v>
      </c>
    </row>
    <row r="230" spans="1:2" x14ac:dyDescent="0.35">
      <c r="A230" s="118">
        <v>45735</v>
      </c>
      <c r="B230" s="119">
        <v>34142.35</v>
      </c>
    </row>
    <row r="231" spans="1:2" x14ac:dyDescent="0.35">
      <c r="A231" s="118">
        <v>45734</v>
      </c>
      <c r="B231" s="119">
        <v>34033.06</v>
      </c>
    </row>
    <row r="232" spans="1:2" x14ac:dyDescent="0.35">
      <c r="A232" s="118">
        <v>45733</v>
      </c>
      <c r="B232" s="119">
        <v>33547.879999999997</v>
      </c>
    </row>
    <row r="233" spans="1:2" x14ac:dyDescent="0.35">
      <c r="A233" s="118">
        <v>45729</v>
      </c>
      <c r="B233" s="119">
        <v>33381.620000000003</v>
      </c>
    </row>
    <row r="234" spans="1:2" x14ac:dyDescent="0.35">
      <c r="A234" s="118">
        <v>45728</v>
      </c>
      <c r="B234" s="119">
        <v>33490.870000000003</v>
      </c>
    </row>
    <row r="235" spans="1:2" x14ac:dyDescent="0.35">
      <c r="A235" s="118">
        <v>45727</v>
      </c>
      <c r="B235" s="119">
        <v>33531.68</v>
      </c>
    </row>
    <row r="236" spans="1:2" x14ac:dyDescent="0.35">
      <c r="A236" s="118">
        <v>45726</v>
      </c>
      <c r="B236" s="119">
        <v>33473.919999999998</v>
      </c>
    </row>
    <row r="237" spans="1:2" x14ac:dyDescent="0.35">
      <c r="A237" s="118">
        <v>45723</v>
      </c>
      <c r="B237" s="119">
        <v>33611.300000000003</v>
      </c>
    </row>
    <row r="238" spans="1:2" x14ac:dyDescent="0.35">
      <c r="A238" s="118">
        <v>45722</v>
      </c>
      <c r="B238" s="119">
        <v>33599.300000000003</v>
      </c>
    </row>
    <row r="239" spans="1:2" x14ac:dyDescent="0.35">
      <c r="A239" s="118">
        <v>45721</v>
      </c>
      <c r="B239" s="119">
        <v>33290.199999999997</v>
      </c>
    </row>
    <row r="240" spans="1:2" x14ac:dyDescent="0.35">
      <c r="A240" s="118">
        <v>45720</v>
      </c>
      <c r="B240" s="119">
        <v>32910.629999999997</v>
      </c>
    </row>
    <row r="241" spans="1:2" x14ac:dyDescent="0.35">
      <c r="A241" s="118">
        <v>45719</v>
      </c>
      <c r="B241" s="119">
        <v>32965.25</v>
      </c>
    </row>
    <row r="242" spans="1:2" x14ac:dyDescent="0.35">
      <c r="A242" s="118">
        <v>45716</v>
      </c>
      <c r="B242" s="119">
        <v>32973.360000000001</v>
      </c>
    </row>
    <row r="243" spans="1:2" x14ac:dyDescent="0.35">
      <c r="A243" s="118">
        <v>45715</v>
      </c>
      <c r="B243" s="119">
        <v>33599.79</v>
      </c>
    </row>
    <row r="244" spans="1:2" x14ac:dyDescent="0.35">
      <c r="A244" s="118">
        <v>45713</v>
      </c>
      <c r="B244" s="119">
        <v>33603.550000000003</v>
      </c>
    </row>
    <row r="245" spans="1:2" x14ac:dyDescent="0.35">
      <c r="A245" s="118">
        <v>45712</v>
      </c>
      <c r="B245" s="119">
        <v>33612.18</v>
      </c>
    </row>
    <row r="246" spans="1:2" x14ac:dyDescent="0.35">
      <c r="A246" s="118">
        <v>45709</v>
      </c>
      <c r="B246" s="119">
        <v>33973.61</v>
      </c>
    </row>
    <row r="247" spans="1:2" x14ac:dyDescent="0.35">
      <c r="A247" s="118">
        <v>45708</v>
      </c>
      <c r="B247" s="119">
        <v>34148.36</v>
      </c>
    </row>
    <row r="248" spans="1:2" x14ac:dyDescent="0.35">
      <c r="A248" s="118">
        <v>45707</v>
      </c>
      <c r="B248" s="119">
        <v>34177.82</v>
      </c>
    </row>
    <row r="249" spans="1:2" x14ac:dyDescent="0.35">
      <c r="A249" s="118">
        <v>45706</v>
      </c>
      <c r="B249" s="119">
        <v>34196.32</v>
      </c>
    </row>
    <row r="250" spans="1:2" x14ac:dyDescent="0.35">
      <c r="A250" s="118">
        <v>45705</v>
      </c>
      <c r="B250" s="119">
        <v>34217.480000000003</v>
      </c>
    </row>
    <row r="251" spans="1:2" x14ac:dyDescent="0.35">
      <c r="A251" s="118">
        <v>45702</v>
      </c>
      <c r="B251" s="119">
        <v>34172.379999999997</v>
      </c>
    </row>
    <row r="252" spans="1:2" x14ac:dyDescent="0.35">
      <c r="A252" s="118">
        <v>45701</v>
      </c>
      <c r="B252" s="119">
        <v>34324.31</v>
      </c>
    </row>
    <row r="253" spans="1:2" x14ac:dyDescent="0.35">
      <c r="A253" s="118">
        <v>45700</v>
      </c>
      <c r="B253" s="119">
        <v>34344.93</v>
      </c>
    </row>
    <row r="254" spans="1:2" x14ac:dyDescent="0.35">
      <c r="A254" s="118">
        <v>45699</v>
      </c>
      <c r="B254" s="119">
        <v>34364.39</v>
      </c>
    </row>
    <row r="255" spans="1:2" x14ac:dyDescent="0.35">
      <c r="A255" s="118">
        <v>45698</v>
      </c>
      <c r="B255" s="119">
        <v>34825.870000000003</v>
      </c>
    </row>
    <row r="256" spans="1:2" x14ac:dyDescent="0.35">
      <c r="A256" s="118">
        <v>45695</v>
      </c>
      <c r="B256" s="119">
        <v>35091.5</v>
      </c>
    </row>
    <row r="257" spans="1:2" x14ac:dyDescent="0.35">
      <c r="A257" s="118">
        <v>45694</v>
      </c>
      <c r="B257" s="119">
        <v>35143.08</v>
      </c>
    </row>
    <row r="258" spans="1:2" x14ac:dyDescent="0.35">
      <c r="A258" s="118">
        <v>45693</v>
      </c>
      <c r="B258" s="119">
        <v>35277.699999999997</v>
      </c>
    </row>
    <row r="259" spans="1:2" x14ac:dyDescent="0.35">
      <c r="A259" s="118">
        <v>45692</v>
      </c>
      <c r="B259" s="119">
        <v>35341.64</v>
      </c>
    </row>
    <row r="260" spans="1:2" x14ac:dyDescent="0.35">
      <c r="A260" s="118">
        <v>45691</v>
      </c>
      <c r="B260" s="119">
        <v>34778.660000000003</v>
      </c>
    </row>
    <row r="261" spans="1:2" x14ac:dyDescent="0.35">
      <c r="A261" s="118">
        <v>45689</v>
      </c>
      <c r="B261" s="119">
        <v>34958.89</v>
      </c>
    </row>
    <row r="262" spans="1:2" x14ac:dyDescent="0.35">
      <c r="A262" s="118">
        <v>45688</v>
      </c>
      <c r="B262" s="119">
        <v>34998.01</v>
      </c>
    </row>
    <row r="263" spans="1:2" x14ac:dyDescent="0.35">
      <c r="A263" s="118">
        <v>45687</v>
      </c>
      <c r="B263" s="119">
        <v>34603.4</v>
      </c>
    </row>
    <row r="264" spans="1:2" x14ac:dyDescent="0.35">
      <c r="A264" s="118">
        <v>45686</v>
      </c>
      <c r="B264" s="119">
        <v>34474.800000000003</v>
      </c>
    </row>
    <row r="265" spans="1:2" x14ac:dyDescent="0.35">
      <c r="A265" s="118">
        <v>45685</v>
      </c>
      <c r="B265" s="119">
        <v>34165.22</v>
      </c>
    </row>
    <row r="266" spans="1:2" x14ac:dyDescent="0.35">
      <c r="A266" s="118">
        <v>45684</v>
      </c>
      <c r="B266" s="119">
        <v>33974.58</v>
      </c>
    </row>
    <row r="267" spans="1:2" x14ac:dyDescent="0.35">
      <c r="A267" s="118">
        <v>45681</v>
      </c>
      <c r="B267" s="119">
        <v>34366.04</v>
      </c>
    </row>
    <row r="268" spans="1:2" x14ac:dyDescent="0.35">
      <c r="A268" s="118">
        <v>45680</v>
      </c>
      <c r="B268" s="119">
        <v>34534.46</v>
      </c>
    </row>
    <row r="269" spans="1:2" x14ac:dyDescent="0.35">
      <c r="A269" s="118">
        <v>45679</v>
      </c>
      <c r="B269" s="119">
        <v>34460.03</v>
      </c>
    </row>
    <row r="270" spans="1:2" x14ac:dyDescent="0.35">
      <c r="A270" s="118">
        <v>45678</v>
      </c>
      <c r="B270" s="119">
        <v>34265.550000000003</v>
      </c>
    </row>
    <row r="271" spans="1:2" x14ac:dyDescent="0.35">
      <c r="A271" s="118">
        <v>45677</v>
      </c>
      <c r="B271" s="119">
        <v>34741.89</v>
      </c>
    </row>
    <row r="272" spans="1:2" x14ac:dyDescent="0.35">
      <c r="A272" s="118">
        <v>45674</v>
      </c>
      <c r="B272" s="119">
        <v>34531.21</v>
      </c>
    </row>
    <row r="273" spans="1:2" x14ac:dyDescent="0.35">
      <c r="A273" s="118">
        <v>45673</v>
      </c>
      <c r="B273" s="119">
        <v>34660.67</v>
      </c>
    </row>
    <row r="274" spans="1:2" x14ac:dyDescent="0.35">
      <c r="A274" s="118">
        <v>45672</v>
      </c>
      <c r="B274" s="119">
        <v>34514.06</v>
      </c>
    </row>
    <row r="275" spans="1:2" x14ac:dyDescent="0.35">
      <c r="A275" s="118">
        <v>45671</v>
      </c>
      <c r="B275" s="119">
        <v>34458.870000000003</v>
      </c>
    </row>
    <row r="276" spans="1:2" x14ac:dyDescent="0.35">
      <c r="A276" s="118">
        <v>45670</v>
      </c>
      <c r="B276" s="119">
        <v>34324.870000000003</v>
      </c>
    </row>
    <row r="277" spans="1:2" x14ac:dyDescent="0.35">
      <c r="A277" s="118">
        <v>45667</v>
      </c>
      <c r="B277" s="119">
        <v>34838.660000000003</v>
      </c>
    </row>
    <row r="278" spans="1:2" x14ac:dyDescent="0.35">
      <c r="A278" s="118">
        <v>45666</v>
      </c>
      <c r="B278" s="119">
        <v>34979.910000000003</v>
      </c>
    </row>
    <row r="279" spans="1:2" x14ac:dyDescent="0.35">
      <c r="A279" s="118">
        <v>45665</v>
      </c>
      <c r="B279" s="119">
        <v>35221.43</v>
      </c>
    </row>
    <row r="280" spans="1:2" x14ac:dyDescent="0.35">
      <c r="A280" s="118">
        <v>45664</v>
      </c>
      <c r="B280" s="119">
        <v>35249.64</v>
      </c>
    </row>
    <row r="281" spans="1:2" x14ac:dyDescent="0.35">
      <c r="A281" s="118">
        <v>45663</v>
      </c>
      <c r="B281" s="119">
        <v>35113.040000000001</v>
      </c>
    </row>
    <row r="282" spans="1:2" x14ac:dyDescent="0.35">
      <c r="A282" s="118">
        <v>45660</v>
      </c>
      <c r="B282" s="119">
        <v>35690.959999999999</v>
      </c>
    </row>
    <row r="283" spans="1:2" x14ac:dyDescent="0.35">
      <c r="A283" s="118">
        <v>45659</v>
      </c>
      <c r="B283" s="119">
        <v>35964.43</v>
      </c>
    </row>
    <row r="284" spans="1:2" x14ac:dyDescent="0.35">
      <c r="A284" s="118">
        <v>45658</v>
      </c>
      <c r="B284" s="119">
        <v>35301.629999999997</v>
      </c>
    </row>
    <row r="285" spans="1:2" x14ac:dyDescent="0.35">
      <c r="A285" s="118">
        <v>45657</v>
      </c>
      <c r="B285" s="119">
        <v>35155.769999999997</v>
      </c>
    </row>
    <row r="286" spans="1:2" x14ac:dyDescent="0.35">
      <c r="A286" s="118">
        <v>45656</v>
      </c>
      <c r="B286" s="119">
        <v>35155.94</v>
      </c>
    </row>
    <row r="287" spans="1:2" x14ac:dyDescent="0.35">
      <c r="A287" s="118">
        <v>45653</v>
      </c>
      <c r="B287" s="119">
        <v>35406.5</v>
      </c>
    </row>
    <row r="288" spans="1:2" x14ac:dyDescent="0.35">
      <c r="A288" s="118">
        <v>45652</v>
      </c>
      <c r="B288" s="119">
        <v>35312.5</v>
      </c>
    </row>
    <row r="289" spans="1:2" x14ac:dyDescent="0.35">
      <c r="A289" s="118">
        <v>45650</v>
      </c>
      <c r="B289" s="119">
        <v>35278.97</v>
      </c>
    </row>
    <row r="290" spans="1:2" x14ac:dyDescent="0.35">
      <c r="A290" s="118">
        <v>45649</v>
      </c>
      <c r="B290" s="119">
        <v>35317.360000000001</v>
      </c>
    </row>
    <row r="291" spans="1:2" x14ac:dyDescent="0.35">
      <c r="A291" s="118">
        <v>45646</v>
      </c>
      <c r="B291" s="119">
        <v>35070.589999999997</v>
      </c>
    </row>
    <row r="292" spans="1:2" x14ac:dyDescent="0.35">
      <c r="A292" s="118">
        <v>45645</v>
      </c>
      <c r="B292" s="119">
        <v>35612.11</v>
      </c>
    </row>
    <row r="293" spans="1:2" x14ac:dyDescent="0.35">
      <c r="A293" s="118">
        <v>45644</v>
      </c>
      <c r="B293" s="119">
        <v>35979.58</v>
      </c>
    </row>
    <row r="294" spans="1:2" x14ac:dyDescent="0.35">
      <c r="A294" s="118">
        <v>45643</v>
      </c>
      <c r="B294" s="119">
        <v>36183.53</v>
      </c>
    </row>
    <row r="295" spans="1:2" x14ac:dyDescent="0.35">
      <c r="A295" s="118">
        <v>45642</v>
      </c>
      <c r="B295" s="119">
        <v>36677.480000000003</v>
      </c>
    </row>
    <row r="296" spans="1:2" x14ac:dyDescent="0.35">
      <c r="A296" s="118">
        <v>45639</v>
      </c>
      <c r="B296" s="119">
        <v>36826.269999999997</v>
      </c>
    </row>
    <row r="297" spans="1:2" x14ac:dyDescent="0.35">
      <c r="A297" s="118">
        <v>45638</v>
      </c>
      <c r="B297" s="119">
        <v>36499.75</v>
      </c>
    </row>
    <row r="298" spans="1:2" x14ac:dyDescent="0.35">
      <c r="A298" s="118">
        <v>45637</v>
      </c>
      <c r="B298" s="119">
        <v>36638.14</v>
      </c>
    </row>
    <row r="299" spans="1:2" x14ac:dyDescent="0.35">
      <c r="A299" s="118">
        <v>45636</v>
      </c>
      <c r="B299" s="119">
        <v>36590.980000000003</v>
      </c>
    </row>
    <row r="300" spans="1:2" x14ac:dyDescent="0.35">
      <c r="A300" s="118">
        <v>45635</v>
      </c>
      <c r="B300" s="119">
        <v>36604.29</v>
      </c>
    </row>
    <row r="301" spans="1:2" x14ac:dyDescent="0.35">
      <c r="A301" s="118">
        <v>45632</v>
      </c>
      <c r="B301" s="119">
        <v>36691.68</v>
      </c>
    </row>
    <row r="302" spans="1:2" x14ac:dyDescent="0.35">
      <c r="A302" s="118">
        <v>45631</v>
      </c>
      <c r="B302" s="119">
        <v>36737.18</v>
      </c>
    </row>
    <row r="303" spans="1:2" x14ac:dyDescent="0.35">
      <c r="A303" s="118">
        <v>45630</v>
      </c>
      <c r="B303" s="119">
        <v>36378.910000000003</v>
      </c>
    </row>
    <row r="304" spans="1:2" x14ac:dyDescent="0.35">
      <c r="A304" s="118">
        <v>45629</v>
      </c>
      <c r="B304" s="119">
        <v>36363.629999999997</v>
      </c>
    </row>
    <row r="305" spans="1:2" x14ac:dyDescent="0.35">
      <c r="A305" s="118">
        <v>45628</v>
      </c>
      <c r="B305" s="119">
        <v>36094.39</v>
      </c>
    </row>
    <row r="306" spans="1:2" x14ac:dyDescent="0.35">
      <c r="A306" s="118">
        <v>45625</v>
      </c>
      <c r="B306" s="119">
        <v>35878.82</v>
      </c>
    </row>
    <row r="307" spans="1:2" x14ac:dyDescent="0.35">
      <c r="A307" s="118">
        <v>45624</v>
      </c>
      <c r="B307" s="119">
        <v>35556.269999999997</v>
      </c>
    </row>
    <row r="308" spans="1:2" x14ac:dyDescent="0.35">
      <c r="A308" s="118">
        <v>45623</v>
      </c>
      <c r="B308" s="119">
        <v>36092.65</v>
      </c>
    </row>
    <row r="309" spans="1:2" x14ac:dyDescent="0.35">
      <c r="A309" s="118">
        <v>45622</v>
      </c>
      <c r="B309" s="119">
        <v>35973.11</v>
      </c>
    </row>
    <row r="310" spans="1:2" x14ac:dyDescent="0.35">
      <c r="A310" s="118">
        <v>45621</v>
      </c>
      <c r="B310" s="119">
        <v>36013.85</v>
      </c>
    </row>
    <row r="311" spans="1:2" x14ac:dyDescent="0.35">
      <c r="A311" s="118">
        <v>45618</v>
      </c>
      <c r="B311" s="119">
        <v>35546.01</v>
      </c>
    </row>
    <row r="312" spans="1:2" x14ac:dyDescent="0.35">
      <c r="A312" s="118">
        <v>45617</v>
      </c>
      <c r="B312" s="119">
        <v>34717.32</v>
      </c>
    </row>
    <row r="313" spans="1:2" x14ac:dyDescent="0.35">
      <c r="A313" s="118">
        <v>45615</v>
      </c>
      <c r="B313" s="119">
        <v>34968</v>
      </c>
    </row>
    <row r="314" spans="1:2" x14ac:dyDescent="0.35">
      <c r="A314" s="118">
        <v>45614</v>
      </c>
      <c r="B314" s="119">
        <v>34871.21</v>
      </c>
    </row>
    <row r="315" spans="1:2" x14ac:dyDescent="0.35">
      <c r="A315" s="118">
        <v>45610</v>
      </c>
      <c r="B315" s="119">
        <v>34988.480000000003</v>
      </c>
    </row>
    <row r="316" spans="1:2" x14ac:dyDescent="0.35">
      <c r="A316" s="118">
        <v>45609</v>
      </c>
      <c r="B316" s="119">
        <v>35020.93</v>
      </c>
    </row>
    <row r="317" spans="1:2" x14ac:dyDescent="0.35">
      <c r="A317" s="118">
        <v>45608</v>
      </c>
      <c r="B317" s="119">
        <v>35503.11</v>
      </c>
    </row>
    <row r="318" spans="1:2" x14ac:dyDescent="0.35">
      <c r="A318" s="118">
        <v>45607</v>
      </c>
      <c r="B318" s="119">
        <v>35886.42</v>
      </c>
    </row>
    <row r="319" spans="1:2" x14ac:dyDescent="0.35">
      <c r="A319" s="118">
        <v>45604</v>
      </c>
      <c r="B319" s="119">
        <v>35896.71</v>
      </c>
    </row>
    <row r="320" spans="1:2" x14ac:dyDescent="0.35">
      <c r="A320" s="118">
        <v>45603</v>
      </c>
      <c r="B320" s="119">
        <v>35972.74</v>
      </c>
    </row>
    <row r="321" spans="1:2" x14ac:dyDescent="0.35">
      <c r="A321" s="118">
        <v>45602</v>
      </c>
      <c r="B321" s="119">
        <v>36393.85</v>
      </c>
    </row>
    <row r="322" spans="1:2" x14ac:dyDescent="0.35">
      <c r="A322" s="118">
        <v>45601</v>
      </c>
      <c r="B322" s="119">
        <v>35982.959999999999</v>
      </c>
    </row>
    <row r="323" spans="1:2" x14ac:dyDescent="0.35">
      <c r="A323" s="118">
        <v>45600</v>
      </c>
      <c r="B323" s="119">
        <v>35659.07</v>
      </c>
    </row>
    <row r="324" spans="1:2" x14ac:dyDescent="0.35">
      <c r="A324" s="118">
        <v>45597</v>
      </c>
      <c r="B324" s="119">
        <v>36118.25</v>
      </c>
    </row>
    <row r="325" spans="1:2" x14ac:dyDescent="0.35">
      <c r="A325" s="118">
        <v>45596</v>
      </c>
      <c r="B325" s="119">
        <v>35971.14</v>
      </c>
    </row>
    <row r="326" spans="1:2" x14ac:dyDescent="0.35">
      <c r="A326" s="118">
        <v>45595</v>
      </c>
      <c r="B326" s="119">
        <v>36165.43</v>
      </c>
    </row>
    <row r="327" spans="1:2" x14ac:dyDescent="0.35">
      <c r="A327" s="118">
        <v>45594</v>
      </c>
      <c r="B327" s="119">
        <v>36352.629999999997</v>
      </c>
    </row>
    <row r="328" spans="1:2" x14ac:dyDescent="0.35">
      <c r="A328" s="118">
        <v>45593</v>
      </c>
      <c r="B328" s="119">
        <v>36138.03</v>
      </c>
    </row>
    <row r="329" spans="1:2" x14ac:dyDescent="0.35">
      <c r="A329" s="118">
        <v>45590</v>
      </c>
      <c r="B329" s="119">
        <v>35902.92</v>
      </c>
    </row>
    <row r="330" spans="1:2" x14ac:dyDescent="0.35">
      <c r="A330" s="118">
        <v>45589</v>
      </c>
      <c r="B330" s="119">
        <v>36227.519999999997</v>
      </c>
    </row>
    <row r="331" spans="1:2" x14ac:dyDescent="0.35">
      <c r="A331" s="118">
        <v>45588</v>
      </c>
      <c r="B331" s="119">
        <v>36281.1</v>
      </c>
    </row>
    <row r="332" spans="1:2" x14ac:dyDescent="0.35">
      <c r="A332" s="118">
        <v>45587</v>
      </c>
      <c r="B332" s="119">
        <v>36335.46</v>
      </c>
    </row>
    <row r="333" spans="1:2" x14ac:dyDescent="0.35">
      <c r="A333" s="118">
        <v>45586</v>
      </c>
      <c r="B333" s="119">
        <v>36789.949999999997</v>
      </c>
    </row>
    <row r="334" spans="1:2" x14ac:dyDescent="0.35">
      <c r="A334" s="118">
        <v>45583</v>
      </c>
      <c r="B334" s="119">
        <v>36898.25</v>
      </c>
    </row>
    <row r="335" spans="1:2" x14ac:dyDescent="0.35">
      <c r="A335" s="118">
        <v>45582</v>
      </c>
      <c r="B335" s="119">
        <v>36740.25</v>
      </c>
    </row>
    <row r="336" spans="1:2" x14ac:dyDescent="0.35">
      <c r="A336" s="118">
        <v>45581</v>
      </c>
      <c r="B336" s="119">
        <v>37068.99</v>
      </c>
    </row>
    <row r="337" spans="1:2" x14ac:dyDescent="0.35">
      <c r="A337" s="118">
        <v>45580</v>
      </c>
      <c r="B337" s="119">
        <v>37196.69</v>
      </c>
    </row>
    <row r="338" spans="1:2" x14ac:dyDescent="0.35">
      <c r="A338" s="118">
        <v>45579</v>
      </c>
      <c r="B338" s="119">
        <v>37301.5</v>
      </c>
    </row>
    <row r="339" spans="1:2" x14ac:dyDescent="0.35">
      <c r="A339" s="118">
        <v>45576</v>
      </c>
      <c r="B339" s="119">
        <v>37058.49</v>
      </c>
    </row>
    <row r="340" spans="1:2" x14ac:dyDescent="0.35">
      <c r="A340" s="118">
        <v>45575</v>
      </c>
      <c r="B340" s="119">
        <v>37109.26</v>
      </c>
    </row>
    <row r="341" spans="1:2" x14ac:dyDescent="0.35">
      <c r="A341" s="118">
        <v>45574</v>
      </c>
      <c r="B341" s="119">
        <v>37084.75</v>
      </c>
    </row>
    <row r="342" spans="1:2" x14ac:dyDescent="0.35">
      <c r="A342" s="118">
        <v>45573</v>
      </c>
      <c r="B342" s="119">
        <v>37131.07</v>
      </c>
    </row>
    <row r="343" spans="1:2" x14ac:dyDescent="0.35">
      <c r="A343" s="118">
        <v>45572</v>
      </c>
      <c r="B343" s="119">
        <v>36808.370000000003</v>
      </c>
    </row>
    <row r="344" spans="1:2" x14ac:dyDescent="0.35">
      <c r="A344" s="118">
        <v>45569</v>
      </c>
      <c r="B344" s="119">
        <v>37133.25</v>
      </c>
    </row>
    <row r="345" spans="1:2" x14ac:dyDescent="0.35">
      <c r="A345" s="118">
        <v>45568</v>
      </c>
      <c r="B345" s="119">
        <v>37482.839999999997</v>
      </c>
    </row>
    <row r="346" spans="1:2" x14ac:dyDescent="0.35">
      <c r="A346" s="118">
        <v>45566</v>
      </c>
      <c r="B346" s="119">
        <v>38294.54</v>
      </c>
    </row>
    <row r="347" spans="1:2" x14ac:dyDescent="0.35">
      <c r="A347" s="118">
        <v>45565</v>
      </c>
      <c r="B347" s="119">
        <v>38315.21</v>
      </c>
    </row>
    <row r="348" spans="1:2" x14ac:dyDescent="0.35">
      <c r="A348" s="118">
        <v>45562</v>
      </c>
      <c r="B348" s="119">
        <v>38861.64</v>
      </c>
    </row>
    <row r="349" spans="1:2" x14ac:dyDescent="0.35">
      <c r="A349" s="118">
        <v>45561</v>
      </c>
      <c r="B349" s="119">
        <v>38916.76</v>
      </c>
    </row>
    <row r="350" spans="1:2" x14ac:dyDescent="0.35">
      <c r="A350" s="118">
        <v>45560</v>
      </c>
      <c r="B350" s="119">
        <v>38602.21</v>
      </c>
    </row>
    <row r="351" spans="1:2" x14ac:dyDescent="0.35">
      <c r="A351" s="118">
        <v>45559</v>
      </c>
      <c r="B351" s="119">
        <v>38507.550000000003</v>
      </c>
    </row>
    <row r="352" spans="1:2" x14ac:dyDescent="0.35">
      <c r="A352" s="118">
        <v>45558</v>
      </c>
      <c r="B352" s="119">
        <v>38505.51</v>
      </c>
    </row>
    <row r="353" spans="1:2" x14ac:dyDescent="0.35">
      <c r="A353" s="118">
        <v>45555</v>
      </c>
      <c r="B353" s="119">
        <v>38285.67</v>
      </c>
    </row>
    <row r="354" spans="1:2" x14ac:dyDescent="0.35">
      <c r="A354" s="118">
        <v>45554</v>
      </c>
      <c r="B354" s="119">
        <v>37728.83</v>
      </c>
    </row>
    <row r="355" spans="1:2" x14ac:dyDescent="0.35">
      <c r="A355" s="118">
        <v>45553</v>
      </c>
      <c r="B355" s="119">
        <v>37672.03</v>
      </c>
    </row>
    <row r="356" spans="1:2" x14ac:dyDescent="0.35">
      <c r="A356" s="118">
        <v>45552</v>
      </c>
      <c r="B356" s="119">
        <v>37732.870000000003</v>
      </c>
    </row>
    <row r="357" spans="1:2" x14ac:dyDescent="0.35">
      <c r="A357" s="118">
        <v>45551</v>
      </c>
      <c r="B357" s="119">
        <v>37681.24</v>
      </c>
    </row>
    <row r="358" spans="1:2" x14ac:dyDescent="0.35">
      <c r="A358" s="118">
        <v>45548</v>
      </c>
      <c r="B358" s="119">
        <v>37640.800000000003</v>
      </c>
    </row>
    <row r="359" spans="1:2" x14ac:dyDescent="0.35">
      <c r="A359" s="118">
        <v>45547</v>
      </c>
      <c r="B359" s="119">
        <v>37688.9</v>
      </c>
    </row>
    <row r="360" spans="1:2" x14ac:dyDescent="0.35">
      <c r="A360" s="118">
        <v>45546</v>
      </c>
      <c r="B360" s="119">
        <v>36990.519999999997</v>
      </c>
    </row>
    <row r="361" spans="1:2" x14ac:dyDescent="0.35">
      <c r="A361" s="118">
        <v>45545</v>
      </c>
      <c r="B361" s="119">
        <v>37172.57</v>
      </c>
    </row>
    <row r="362" spans="1:2" x14ac:dyDescent="0.35">
      <c r="A362" s="118">
        <v>45544</v>
      </c>
      <c r="B362" s="119">
        <v>37017.15</v>
      </c>
    </row>
    <row r="363" spans="1:2" x14ac:dyDescent="0.35">
      <c r="A363" s="118">
        <v>45541</v>
      </c>
      <c r="B363" s="119">
        <v>36892.07</v>
      </c>
    </row>
    <row r="364" spans="1:2" x14ac:dyDescent="0.35">
      <c r="A364" s="118">
        <v>45540</v>
      </c>
      <c r="B364" s="119">
        <v>37326.99</v>
      </c>
    </row>
    <row r="365" spans="1:2" x14ac:dyDescent="0.35">
      <c r="A365" s="118">
        <v>45539</v>
      </c>
      <c r="B365" s="119">
        <v>37406.550000000003</v>
      </c>
    </row>
    <row r="366" spans="1:2" x14ac:dyDescent="0.35">
      <c r="A366" s="118">
        <v>45538</v>
      </c>
      <c r="B366" s="119">
        <v>37526.97</v>
      </c>
    </row>
    <row r="367" spans="1:2" x14ac:dyDescent="0.35">
      <c r="A367" s="118">
        <v>45537</v>
      </c>
      <c r="B367" s="119">
        <v>37525.279999999999</v>
      </c>
    </row>
    <row r="368" spans="1:2" x14ac:dyDescent="0.35">
      <c r="A368" s="118">
        <v>45534</v>
      </c>
      <c r="B368" s="119">
        <v>37461.730000000003</v>
      </c>
    </row>
    <row r="369" spans="1:2" x14ac:dyDescent="0.35">
      <c r="A369" s="118">
        <v>45533</v>
      </c>
      <c r="B369" s="119">
        <v>37337.089999999997</v>
      </c>
    </row>
    <row r="370" spans="1:2" x14ac:dyDescent="0.35">
      <c r="A370" s="118">
        <v>45532</v>
      </c>
      <c r="B370" s="119">
        <v>37189.269999999997</v>
      </c>
    </row>
    <row r="371" spans="1:2" x14ac:dyDescent="0.35">
      <c r="A371" s="118">
        <v>45531</v>
      </c>
      <c r="B371" s="119">
        <v>37137.910000000003</v>
      </c>
    </row>
    <row r="372" spans="1:2" x14ac:dyDescent="0.35">
      <c r="A372" s="118">
        <v>45530</v>
      </c>
      <c r="B372" s="119">
        <v>37127.300000000003</v>
      </c>
    </row>
    <row r="373" spans="1:2" x14ac:dyDescent="0.35">
      <c r="A373" s="118">
        <v>45527</v>
      </c>
      <c r="B373" s="119">
        <v>36849.019999999997</v>
      </c>
    </row>
    <row r="374" spans="1:2" x14ac:dyDescent="0.35">
      <c r="A374" s="118">
        <v>45526</v>
      </c>
      <c r="B374" s="119">
        <v>36828.5</v>
      </c>
    </row>
    <row r="375" spans="1:2" x14ac:dyDescent="0.35">
      <c r="A375" s="118">
        <v>45525</v>
      </c>
      <c r="B375" s="119">
        <v>36767.19</v>
      </c>
    </row>
    <row r="376" spans="1:2" x14ac:dyDescent="0.35">
      <c r="A376" s="118">
        <v>45524</v>
      </c>
      <c r="B376" s="119">
        <v>36661.24</v>
      </c>
    </row>
    <row r="377" spans="1:2" x14ac:dyDescent="0.35">
      <c r="A377" s="118">
        <v>45523</v>
      </c>
      <c r="B377" s="119">
        <v>36473.949999999997</v>
      </c>
    </row>
    <row r="378" spans="1:2" x14ac:dyDescent="0.35">
      <c r="A378" s="118">
        <v>45520</v>
      </c>
      <c r="B378" s="119">
        <v>36415.85</v>
      </c>
    </row>
    <row r="379" spans="1:2" x14ac:dyDescent="0.35">
      <c r="A379" s="118">
        <v>45518</v>
      </c>
      <c r="B379" s="119">
        <v>35817.89</v>
      </c>
    </row>
    <row r="380" spans="1:2" x14ac:dyDescent="0.35">
      <c r="A380" s="118">
        <v>45517</v>
      </c>
      <c r="B380" s="119">
        <v>35810.83</v>
      </c>
    </row>
    <row r="381" spans="1:2" x14ac:dyDescent="0.35">
      <c r="A381" s="118">
        <v>45516</v>
      </c>
      <c r="B381" s="119">
        <v>36119.449999999997</v>
      </c>
    </row>
    <row r="382" spans="1:2" x14ac:dyDescent="0.35">
      <c r="A382" s="118">
        <v>45513</v>
      </c>
      <c r="B382" s="119">
        <v>36126.230000000003</v>
      </c>
    </row>
    <row r="383" spans="1:2" x14ac:dyDescent="0.35">
      <c r="A383" s="118">
        <v>45512</v>
      </c>
      <c r="B383" s="119">
        <v>35753.120000000003</v>
      </c>
    </row>
    <row r="384" spans="1:2" x14ac:dyDescent="0.35">
      <c r="A384" s="118">
        <v>45511</v>
      </c>
      <c r="B384" s="119">
        <v>36020.75</v>
      </c>
    </row>
    <row r="385" spans="1:2" x14ac:dyDescent="0.35">
      <c r="A385" s="118">
        <v>45510</v>
      </c>
      <c r="B385" s="119">
        <v>35554.15</v>
      </c>
    </row>
    <row r="386" spans="1:2" x14ac:dyDescent="0.35">
      <c r="A386" s="118">
        <v>45509</v>
      </c>
      <c r="B386" s="119">
        <v>35646.370000000003</v>
      </c>
    </row>
    <row r="387" spans="1:2" x14ac:dyDescent="0.35">
      <c r="A387" s="118">
        <v>45506</v>
      </c>
      <c r="B387" s="119">
        <v>36624.49</v>
      </c>
    </row>
    <row r="388" spans="1:2" x14ac:dyDescent="0.35">
      <c r="A388" s="118">
        <v>45505</v>
      </c>
      <c r="B388" s="119">
        <v>37049.699999999997</v>
      </c>
    </row>
    <row r="389" spans="1:2" x14ac:dyDescent="0.35">
      <c r="A389" s="118">
        <v>45504</v>
      </c>
      <c r="B389" s="119">
        <v>36959.480000000003</v>
      </c>
    </row>
    <row r="390" spans="1:2" x14ac:dyDescent="0.35">
      <c r="A390" s="118">
        <v>45503</v>
      </c>
      <c r="B390" s="119">
        <v>36820.47</v>
      </c>
    </row>
    <row r="391" spans="1:2" x14ac:dyDescent="0.35">
      <c r="A391" s="118">
        <v>45502</v>
      </c>
      <c r="B391" s="119">
        <v>36786.300000000003</v>
      </c>
    </row>
    <row r="392" spans="1:2" x14ac:dyDescent="0.35">
      <c r="A392" s="118">
        <v>45499</v>
      </c>
      <c r="B392" s="119">
        <v>36784.480000000003</v>
      </c>
    </row>
    <row r="393" spans="1:2" x14ac:dyDescent="0.35">
      <c r="A393" s="118">
        <v>45498</v>
      </c>
      <c r="B393" s="119">
        <v>36149.4</v>
      </c>
    </row>
    <row r="394" spans="1:2" x14ac:dyDescent="0.35">
      <c r="A394" s="118">
        <v>45497</v>
      </c>
      <c r="B394" s="119">
        <v>36160.36</v>
      </c>
    </row>
    <row r="395" spans="1:2" x14ac:dyDescent="0.35">
      <c r="A395" s="118">
        <v>45496</v>
      </c>
      <c r="B395" s="119">
        <v>36257.51</v>
      </c>
    </row>
    <row r="396" spans="1:2" x14ac:dyDescent="0.35">
      <c r="A396" s="118">
        <v>45495</v>
      </c>
      <c r="B396" s="119">
        <v>36296.550000000003</v>
      </c>
    </row>
    <row r="397" spans="1:2" x14ac:dyDescent="0.35">
      <c r="A397" s="118">
        <v>45492</v>
      </c>
      <c r="B397" s="119">
        <v>36328.6</v>
      </c>
    </row>
    <row r="398" spans="1:2" x14ac:dyDescent="0.35">
      <c r="A398" s="118">
        <v>45491</v>
      </c>
      <c r="B398" s="119">
        <v>36723.93</v>
      </c>
    </row>
    <row r="399" spans="1:2" x14ac:dyDescent="0.35">
      <c r="A399" s="118">
        <v>45489</v>
      </c>
      <c r="B399" s="119">
        <v>36445.79</v>
      </c>
    </row>
    <row r="400" spans="1:2" x14ac:dyDescent="0.35">
      <c r="A400" s="118">
        <v>45488</v>
      </c>
      <c r="B400" s="119">
        <v>36403.86</v>
      </c>
    </row>
    <row r="401" spans="1:2" x14ac:dyDescent="0.35">
      <c r="A401" s="118">
        <v>45485</v>
      </c>
      <c r="B401" s="119">
        <v>36278.67</v>
      </c>
    </row>
    <row r="402" spans="1:2" x14ac:dyDescent="0.35">
      <c r="A402" s="118">
        <v>45484</v>
      </c>
      <c r="B402" s="119">
        <v>36000.25</v>
      </c>
    </row>
    <row r="403" spans="1:2" x14ac:dyDescent="0.35">
      <c r="A403" s="118">
        <v>45483</v>
      </c>
      <c r="B403" s="119">
        <v>36012.82</v>
      </c>
    </row>
    <row r="404" spans="1:2" x14ac:dyDescent="0.35">
      <c r="A404" s="118">
        <v>45482</v>
      </c>
      <c r="B404" s="119">
        <v>36173.870000000003</v>
      </c>
    </row>
    <row r="405" spans="1:2" x14ac:dyDescent="0.35">
      <c r="A405" s="118">
        <v>45481</v>
      </c>
      <c r="B405" s="119">
        <v>36004.74</v>
      </c>
    </row>
    <row r="406" spans="1:2" x14ac:dyDescent="0.35">
      <c r="A406" s="118">
        <v>45478</v>
      </c>
      <c r="B406" s="119">
        <v>36009.61</v>
      </c>
    </row>
    <row r="407" spans="1:2" x14ac:dyDescent="0.35">
      <c r="A407" s="118">
        <v>45477</v>
      </c>
      <c r="B407" s="119">
        <v>35970.639999999999</v>
      </c>
    </row>
    <row r="408" spans="1:2" x14ac:dyDescent="0.35">
      <c r="A408" s="118">
        <v>45476</v>
      </c>
      <c r="B408" s="119">
        <v>35947.53</v>
      </c>
    </row>
    <row r="409" spans="1:2" x14ac:dyDescent="0.35">
      <c r="A409" s="118">
        <v>45475</v>
      </c>
      <c r="B409" s="119">
        <v>35706.769999999997</v>
      </c>
    </row>
    <row r="410" spans="1:2" x14ac:dyDescent="0.35">
      <c r="A410" s="118">
        <v>45474</v>
      </c>
      <c r="B410" s="119">
        <v>35733.58</v>
      </c>
    </row>
    <row r="411" spans="1:2" x14ac:dyDescent="0.35">
      <c r="A411" s="118">
        <v>45471</v>
      </c>
      <c r="B411" s="119">
        <v>35539.160000000003</v>
      </c>
    </row>
    <row r="412" spans="1:2" x14ac:dyDescent="0.35">
      <c r="A412" s="118">
        <v>45470</v>
      </c>
      <c r="B412" s="119">
        <v>35585.620000000003</v>
      </c>
    </row>
    <row r="413" spans="1:2" x14ac:dyDescent="0.35">
      <c r="A413" s="118">
        <v>45469</v>
      </c>
      <c r="B413" s="119">
        <v>35324.11</v>
      </c>
    </row>
    <row r="414" spans="1:2" x14ac:dyDescent="0.35">
      <c r="A414" s="118">
        <v>45468</v>
      </c>
      <c r="B414" s="119">
        <v>35105.79</v>
      </c>
    </row>
    <row r="415" spans="1:2" x14ac:dyDescent="0.35">
      <c r="A415" s="118">
        <v>45467</v>
      </c>
      <c r="B415" s="119">
        <v>34834.33</v>
      </c>
    </row>
    <row r="416" spans="1:2" x14ac:dyDescent="0.35">
      <c r="A416" s="118">
        <v>45464</v>
      </c>
      <c r="B416" s="119">
        <v>34779.9</v>
      </c>
    </row>
    <row r="417" spans="1:2" x14ac:dyDescent="0.35">
      <c r="A417" s="118">
        <v>45463</v>
      </c>
      <c r="B417" s="119">
        <v>34873.15</v>
      </c>
    </row>
    <row r="418" spans="1:2" x14ac:dyDescent="0.35">
      <c r="A418" s="118">
        <v>45462</v>
      </c>
      <c r="B418" s="119">
        <v>34786.58</v>
      </c>
    </row>
    <row r="419" spans="1:2" x14ac:dyDescent="0.35">
      <c r="A419" s="118">
        <v>45461</v>
      </c>
      <c r="B419" s="119">
        <v>34847.24</v>
      </c>
    </row>
    <row r="420" spans="1:2" x14ac:dyDescent="0.35">
      <c r="A420" s="118">
        <v>45457</v>
      </c>
      <c r="B420" s="119">
        <v>34710.67</v>
      </c>
    </row>
    <row r="421" spans="1:2" x14ac:dyDescent="0.35">
      <c r="A421" s="118">
        <v>45456</v>
      </c>
      <c r="B421" s="119">
        <v>34600.19</v>
      </c>
    </row>
    <row r="422" spans="1:2" x14ac:dyDescent="0.35">
      <c r="A422" s="118">
        <v>45455</v>
      </c>
      <c r="B422" s="119">
        <v>34487.879999999997</v>
      </c>
    </row>
    <row r="423" spans="1:2" x14ac:dyDescent="0.35">
      <c r="A423" s="118">
        <v>45454</v>
      </c>
      <c r="B423" s="119">
        <v>34402</v>
      </c>
    </row>
    <row r="424" spans="1:2" x14ac:dyDescent="0.35">
      <c r="A424" s="118">
        <v>45453</v>
      </c>
      <c r="B424" s="119">
        <v>34385.839999999997</v>
      </c>
    </row>
    <row r="425" spans="1:2" x14ac:dyDescent="0.35">
      <c r="A425" s="118">
        <v>45450</v>
      </c>
      <c r="B425" s="119">
        <v>34431.61</v>
      </c>
    </row>
    <row r="426" spans="1:2" x14ac:dyDescent="0.35">
      <c r="A426" s="118">
        <v>45449</v>
      </c>
      <c r="B426" s="119">
        <v>33738.58</v>
      </c>
    </row>
    <row r="427" spans="1:2" x14ac:dyDescent="0.35">
      <c r="A427" s="118">
        <v>45448</v>
      </c>
      <c r="B427" s="119">
        <v>33441.4</v>
      </c>
    </row>
    <row r="428" spans="1:2" x14ac:dyDescent="0.35">
      <c r="A428" s="118">
        <v>45447</v>
      </c>
      <c r="B428" s="119">
        <v>32353.5</v>
      </c>
    </row>
    <row r="429" spans="1:2" x14ac:dyDescent="0.35">
      <c r="A429" s="118">
        <v>45446</v>
      </c>
      <c r="B429" s="119">
        <v>34369.129999999997</v>
      </c>
    </row>
    <row r="430" spans="1:2" x14ac:dyDescent="0.35">
      <c r="A430" s="118">
        <v>45443</v>
      </c>
      <c r="B430" s="119">
        <v>33285.9</v>
      </c>
    </row>
    <row r="431" spans="1:2" x14ac:dyDescent="0.35">
      <c r="A431" s="118">
        <v>45442</v>
      </c>
      <c r="B431" s="119">
        <v>33190.35</v>
      </c>
    </row>
    <row r="432" spans="1:2" x14ac:dyDescent="0.35">
      <c r="A432" s="118">
        <v>45441</v>
      </c>
      <c r="B432" s="119">
        <v>33509.230000000003</v>
      </c>
    </row>
    <row r="433" spans="1:2" x14ac:dyDescent="0.35">
      <c r="A433" s="118">
        <v>45440</v>
      </c>
      <c r="B433" s="119">
        <v>33780.01</v>
      </c>
    </row>
    <row r="434" spans="1:2" x14ac:dyDescent="0.35">
      <c r="A434" s="118">
        <v>45439</v>
      </c>
      <c r="B434" s="119">
        <v>33845.39</v>
      </c>
    </row>
    <row r="435" spans="1:2" x14ac:dyDescent="0.35">
      <c r="A435" s="118">
        <v>45436</v>
      </c>
      <c r="B435" s="119">
        <v>33881.75</v>
      </c>
    </row>
    <row r="436" spans="1:2" x14ac:dyDescent="0.35">
      <c r="A436" s="118">
        <v>45435</v>
      </c>
      <c r="B436" s="119">
        <v>33895.660000000003</v>
      </c>
    </row>
    <row r="437" spans="1:2" x14ac:dyDescent="0.35">
      <c r="A437" s="118">
        <v>45434</v>
      </c>
      <c r="B437" s="119">
        <v>33349.839999999997</v>
      </c>
    </row>
    <row r="438" spans="1:2" x14ac:dyDescent="0.35">
      <c r="A438" s="118">
        <v>45433</v>
      </c>
      <c r="B438" s="119">
        <v>33230.839999999997</v>
      </c>
    </row>
    <row r="439" spans="1:2" x14ac:dyDescent="0.35">
      <c r="A439" s="118">
        <v>45430</v>
      </c>
      <c r="B439" s="119">
        <v>33190.97</v>
      </c>
    </row>
    <row r="440" spans="1:2" x14ac:dyDescent="0.35">
      <c r="A440" s="118">
        <v>45429</v>
      </c>
      <c r="B440" s="119">
        <v>33138.019999999997</v>
      </c>
    </row>
    <row r="441" spans="1:2" x14ac:dyDescent="0.35">
      <c r="A441" s="118">
        <v>45428</v>
      </c>
      <c r="B441" s="119">
        <v>33046.160000000003</v>
      </c>
    </row>
    <row r="442" spans="1:2" x14ac:dyDescent="0.35">
      <c r="A442" s="118">
        <v>45427</v>
      </c>
      <c r="B442" s="119">
        <v>32736.91</v>
      </c>
    </row>
    <row r="443" spans="1:2" x14ac:dyDescent="0.35">
      <c r="A443" s="118">
        <v>45426</v>
      </c>
      <c r="B443" s="119">
        <v>32762.37</v>
      </c>
    </row>
    <row r="444" spans="1:2" x14ac:dyDescent="0.35">
      <c r="A444" s="118">
        <v>45425</v>
      </c>
      <c r="B444" s="119">
        <v>32594.61</v>
      </c>
    </row>
    <row r="445" spans="1:2" x14ac:dyDescent="0.35">
      <c r="A445" s="118">
        <v>45422</v>
      </c>
      <c r="B445" s="119">
        <v>32522.55</v>
      </c>
    </row>
    <row r="446" spans="1:2" x14ac:dyDescent="0.35">
      <c r="A446" s="118">
        <v>45421</v>
      </c>
      <c r="B446" s="119">
        <v>32329.72</v>
      </c>
    </row>
    <row r="447" spans="1:2" x14ac:dyDescent="0.35">
      <c r="A447" s="118">
        <v>45420</v>
      </c>
      <c r="B447" s="119">
        <v>32837.65</v>
      </c>
    </row>
    <row r="448" spans="1:2" x14ac:dyDescent="0.35">
      <c r="A448" s="118">
        <v>45419</v>
      </c>
      <c r="B448" s="119">
        <v>32837.71</v>
      </c>
    </row>
    <row r="449" spans="1:2" x14ac:dyDescent="0.35">
      <c r="A449" s="118">
        <v>45418</v>
      </c>
      <c r="B449" s="119">
        <v>33037.730000000003</v>
      </c>
    </row>
    <row r="450" spans="1:2" x14ac:dyDescent="0.35">
      <c r="A450" s="118">
        <v>45415</v>
      </c>
      <c r="B450" s="119">
        <v>33086.51</v>
      </c>
    </row>
    <row r="451" spans="1:2" x14ac:dyDescent="0.35">
      <c r="A451" s="118">
        <v>45414</v>
      </c>
      <c r="B451" s="119">
        <v>33340.199999999997</v>
      </c>
    </row>
    <row r="452" spans="1:2" x14ac:dyDescent="0.35">
      <c r="A452" s="118">
        <v>45412</v>
      </c>
      <c r="B452" s="119">
        <v>33276.410000000003</v>
      </c>
    </row>
    <row r="453" spans="1:2" x14ac:dyDescent="0.35">
      <c r="A453" s="118">
        <v>45411</v>
      </c>
      <c r="B453" s="119">
        <v>33333.120000000003</v>
      </c>
    </row>
    <row r="454" spans="1:2" x14ac:dyDescent="0.35">
      <c r="A454" s="118">
        <v>45408</v>
      </c>
      <c r="B454" s="119">
        <v>33004.19</v>
      </c>
    </row>
    <row r="455" spans="1:2" x14ac:dyDescent="0.35">
      <c r="A455" s="118">
        <v>45407</v>
      </c>
      <c r="B455" s="119">
        <v>33225.64</v>
      </c>
    </row>
    <row r="456" spans="1:2" x14ac:dyDescent="0.35">
      <c r="A456" s="118">
        <v>45406</v>
      </c>
      <c r="B456" s="119">
        <v>32978.370000000003</v>
      </c>
    </row>
    <row r="457" spans="1:2" x14ac:dyDescent="0.35">
      <c r="A457" s="118">
        <v>45405</v>
      </c>
      <c r="B457" s="119">
        <v>32927.730000000003</v>
      </c>
    </row>
    <row r="458" spans="1:2" x14ac:dyDescent="0.35">
      <c r="A458" s="118">
        <v>45404</v>
      </c>
      <c r="B458" s="119">
        <v>32881.22</v>
      </c>
    </row>
    <row r="459" spans="1:2" x14ac:dyDescent="0.35">
      <c r="A459" s="118">
        <v>45401</v>
      </c>
      <c r="B459" s="119">
        <v>32602.42</v>
      </c>
    </row>
    <row r="460" spans="1:2" x14ac:dyDescent="0.35">
      <c r="A460" s="118">
        <v>45400</v>
      </c>
      <c r="B460" s="119">
        <v>32379.9</v>
      </c>
    </row>
    <row r="461" spans="1:2" x14ac:dyDescent="0.35">
      <c r="A461" s="118">
        <v>45398</v>
      </c>
      <c r="B461" s="119">
        <v>32603.74</v>
      </c>
    </row>
    <row r="462" spans="1:2" x14ac:dyDescent="0.35">
      <c r="A462" s="118">
        <v>45397</v>
      </c>
      <c r="B462" s="119">
        <v>32787.15</v>
      </c>
    </row>
    <row r="463" spans="1:2" x14ac:dyDescent="0.35">
      <c r="A463" s="118">
        <v>45394</v>
      </c>
      <c r="B463" s="119">
        <v>33150.589999999997</v>
      </c>
    </row>
    <row r="464" spans="1:2" x14ac:dyDescent="0.35">
      <c r="A464" s="118">
        <v>45392</v>
      </c>
      <c r="B464" s="119">
        <v>33495.65</v>
      </c>
    </row>
    <row r="465" spans="1:2" x14ac:dyDescent="0.35">
      <c r="A465" s="118">
        <v>45391</v>
      </c>
      <c r="B465" s="119">
        <v>33332.19</v>
      </c>
    </row>
    <row r="466" spans="1:2" x14ac:dyDescent="0.35">
      <c r="A466" s="118">
        <v>45390</v>
      </c>
      <c r="B466" s="119">
        <v>33366.870000000003</v>
      </c>
    </row>
    <row r="467" spans="1:2" x14ac:dyDescent="0.35">
      <c r="A467" s="118">
        <v>45387</v>
      </c>
      <c r="B467" s="119">
        <v>33142.19</v>
      </c>
    </row>
    <row r="468" spans="1:2" x14ac:dyDescent="0.35">
      <c r="A468" s="118">
        <v>45386</v>
      </c>
      <c r="B468" s="119">
        <v>33143.589999999997</v>
      </c>
    </row>
    <row r="469" spans="1:2" x14ac:dyDescent="0.35">
      <c r="A469" s="118">
        <v>45385</v>
      </c>
      <c r="B469" s="119">
        <v>33025.82</v>
      </c>
    </row>
    <row r="470" spans="1:2" x14ac:dyDescent="0.35">
      <c r="A470" s="118">
        <v>45384</v>
      </c>
      <c r="B470" s="119">
        <v>33053.33</v>
      </c>
    </row>
    <row r="471" spans="1:2" x14ac:dyDescent="0.35">
      <c r="A471" s="118">
        <v>45383</v>
      </c>
      <c r="B471" s="119">
        <v>33066.129999999997</v>
      </c>
    </row>
    <row r="472" spans="1:2" x14ac:dyDescent="0.35">
      <c r="A472" s="118">
        <v>45379</v>
      </c>
      <c r="B472" s="119">
        <v>32867.230000000003</v>
      </c>
    </row>
    <row r="473" spans="1:2" x14ac:dyDescent="0.35">
      <c r="A473" s="118">
        <v>45378</v>
      </c>
      <c r="B473" s="119">
        <v>32568.01</v>
      </c>
    </row>
    <row r="474" spans="1:2" x14ac:dyDescent="0.35">
      <c r="A474" s="118">
        <v>45377</v>
      </c>
      <c r="B474" s="119">
        <v>32392.94</v>
      </c>
    </row>
    <row r="475" spans="1:2" x14ac:dyDescent="0.35">
      <c r="A475" s="118">
        <v>45373</v>
      </c>
      <c r="B475" s="119">
        <v>32528.43</v>
      </c>
    </row>
    <row r="476" spans="1:2" x14ac:dyDescent="0.35">
      <c r="A476" s="118">
        <v>45372</v>
      </c>
      <c r="B476" s="119">
        <v>32403.599999999999</v>
      </c>
    </row>
    <row r="477" spans="1:2" x14ac:dyDescent="0.35">
      <c r="A477" s="118">
        <v>45371</v>
      </c>
      <c r="B477" s="119">
        <v>32149.17</v>
      </c>
    </row>
    <row r="478" spans="1:2" x14ac:dyDescent="0.35">
      <c r="A478" s="118">
        <v>45370</v>
      </c>
      <c r="B478" s="119">
        <v>32117.3</v>
      </c>
    </row>
    <row r="479" spans="1:2" x14ac:dyDescent="0.35">
      <c r="A479" s="118">
        <v>45369</v>
      </c>
      <c r="B479" s="119">
        <v>32468</v>
      </c>
    </row>
    <row r="480" spans="1:2" x14ac:dyDescent="0.35">
      <c r="A480" s="118">
        <v>45366</v>
      </c>
      <c r="B480" s="119">
        <v>32420.41</v>
      </c>
    </row>
    <row r="481" spans="1:2" x14ac:dyDescent="0.35">
      <c r="A481" s="118">
        <v>45365</v>
      </c>
      <c r="B481" s="119">
        <v>32601.49</v>
      </c>
    </row>
    <row r="482" spans="1:2" x14ac:dyDescent="0.35">
      <c r="A482" s="118">
        <v>45364</v>
      </c>
      <c r="B482" s="119">
        <v>32382.22</v>
      </c>
    </row>
    <row r="483" spans="1:2" x14ac:dyDescent="0.35">
      <c r="A483" s="118">
        <v>45363</v>
      </c>
      <c r="B483" s="119">
        <v>32879.74</v>
      </c>
    </row>
    <row r="484" spans="1:2" x14ac:dyDescent="0.35">
      <c r="A484" s="118">
        <v>45362</v>
      </c>
      <c r="B484" s="119">
        <v>32875.25</v>
      </c>
    </row>
    <row r="485" spans="1:2" x14ac:dyDescent="0.35">
      <c r="A485" s="118">
        <v>45358</v>
      </c>
      <c r="B485" s="119">
        <v>33112.15</v>
      </c>
    </row>
    <row r="486" spans="1:2" x14ac:dyDescent="0.35">
      <c r="A486" s="118">
        <v>45357</v>
      </c>
      <c r="B486" s="119">
        <v>33083.42</v>
      </c>
    </row>
    <row r="487" spans="1:2" x14ac:dyDescent="0.35">
      <c r="A487" s="118">
        <v>45356</v>
      </c>
      <c r="B487" s="119">
        <v>32910.07</v>
      </c>
    </row>
    <row r="488" spans="1:2" x14ac:dyDescent="0.35">
      <c r="A488" s="118">
        <v>45355</v>
      </c>
      <c r="B488" s="119">
        <v>32982.68</v>
      </c>
    </row>
    <row r="489" spans="1:2" x14ac:dyDescent="0.35">
      <c r="A489" s="118">
        <v>45353</v>
      </c>
      <c r="B489" s="119">
        <v>32942.629999999997</v>
      </c>
    </row>
    <row r="490" spans="1:2" x14ac:dyDescent="0.35">
      <c r="A490" s="118">
        <v>45352</v>
      </c>
      <c r="B490" s="119">
        <v>32884.29</v>
      </c>
    </row>
    <row r="491" spans="1:2" x14ac:dyDescent="0.35">
      <c r="A491" s="118">
        <v>45351</v>
      </c>
      <c r="B491" s="119">
        <v>32360.25</v>
      </c>
    </row>
    <row r="492" spans="1:2" x14ac:dyDescent="0.35">
      <c r="A492" s="118">
        <v>45350</v>
      </c>
      <c r="B492" s="119">
        <v>32313.7</v>
      </c>
    </row>
    <row r="493" spans="1:2" x14ac:dyDescent="0.35">
      <c r="A493" s="118">
        <v>45349</v>
      </c>
      <c r="B493" s="119">
        <v>32677.61</v>
      </c>
    </row>
    <row r="494" spans="1:2" x14ac:dyDescent="0.35">
      <c r="A494" s="118">
        <v>45348</v>
      </c>
      <c r="B494" s="119">
        <v>32565.29</v>
      </c>
    </row>
    <row r="495" spans="1:2" x14ac:dyDescent="0.35">
      <c r="A495" s="118">
        <v>45345</v>
      </c>
      <c r="B495" s="119">
        <v>32698.69</v>
      </c>
    </row>
    <row r="496" spans="1:2" x14ac:dyDescent="0.35">
      <c r="A496" s="118">
        <v>45344</v>
      </c>
      <c r="B496" s="119">
        <v>32705.7</v>
      </c>
    </row>
    <row r="497" spans="1:2" x14ac:dyDescent="0.35">
      <c r="A497" s="118">
        <v>45343</v>
      </c>
      <c r="B497" s="119">
        <v>32466.65</v>
      </c>
    </row>
    <row r="498" spans="1:2" x14ac:dyDescent="0.35">
      <c r="A498" s="118">
        <v>45342</v>
      </c>
      <c r="B498" s="119">
        <v>32675.53</v>
      </c>
    </row>
    <row r="499" spans="1:2" x14ac:dyDescent="0.35">
      <c r="A499" s="118">
        <v>45341</v>
      </c>
      <c r="B499" s="119">
        <v>32561.34</v>
      </c>
    </row>
    <row r="500" spans="1:2" x14ac:dyDescent="0.35">
      <c r="A500" s="118">
        <v>45338</v>
      </c>
      <c r="B500" s="119">
        <v>32441.32</v>
      </c>
    </row>
    <row r="501" spans="1:2" x14ac:dyDescent="0.35">
      <c r="A501" s="118">
        <v>45337</v>
      </c>
      <c r="B501" s="119">
        <v>32244.79</v>
      </c>
    </row>
    <row r="502" spans="1:2" x14ac:dyDescent="0.35">
      <c r="A502" s="118">
        <v>45336</v>
      </c>
      <c r="B502" s="119">
        <v>32133.040000000001</v>
      </c>
    </row>
    <row r="503" spans="1:2" x14ac:dyDescent="0.35">
      <c r="A503" s="118">
        <v>45335</v>
      </c>
      <c r="B503" s="119">
        <v>31990.61</v>
      </c>
    </row>
    <row r="504" spans="1:2" x14ac:dyDescent="0.35">
      <c r="A504" s="118">
        <v>45334</v>
      </c>
      <c r="B504" s="119">
        <v>31803.52</v>
      </c>
    </row>
    <row r="505" spans="1:2" x14ac:dyDescent="0.35">
      <c r="A505" s="118">
        <v>45331</v>
      </c>
      <c r="B505" s="119">
        <v>32048.38</v>
      </c>
    </row>
    <row r="506" spans="1:2" x14ac:dyDescent="0.35">
      <c r="A506" s="118">
        <v>45330</v>
      </c>
      <c r="B506" s="119">
        <v>31950.32</v>
      </c>
    </row>
    <row r="507" spans="1:2" x14ac:dyDescent="0.35">
      <c r="A507" s="118">
        <v>45329</v>
      </c>
      <c r="B507" s="119">
        <v>32244.22</v>
      </c>
    </row>
    <row r="508" spans="1:2" x14ac:dyDescent="0.35">
      <c r="A508" s="118">
        <v>45328</v>
      </c>
      <c r="B508" s="119">
        <v>32242.59</v>
      </c>
    </row>
    <row r="509" spans="1:2" x14ac:dyDescent="0.35">
      <c r="A509" s="118">
        <v>45327</v>
      </c>
      <c r="B509" s="119">
        <v>32007.18</v>
      </c>
    </row>
    <row r="510" spans="1:2" x14ac:dyDescent="0.35">
      <c r="A510" s="118">
        <v>45324</v>
      </c>
      <c r="B510" s="119">
        <v>32127.9</v>
      </c>
    </row>
    <row r="511" spans="1:2" x14ac:dyDescent="0.35">
      <c r="A511" s="118">
        <v>45323</v>
      </c>
      <c r="B511" s="119">
        <v>31898.06</v>
      </c>
    </row>
    <row r="512" spans="1:2" x14ac:dyDescent="0.35">
      <c r="A512" s="118">
        <v>45322</v>
      </c>
      <c r="B512" s="119">
        <v>31939.59</v>
      </c>
    </row>
    <row r="513" spans="1:2" x14ac:dyDescent="0.35">
      <c r="A513" s="118">
        <v>45321</v>
      </c>
      <c r="B513" s="119">
        <v>31640.240000000002</v>
      </c>
    </row>
    <row r="514" spans="1:2" x14ac:dyDescent="0.35">
      <c r="A514" s="118">
        <v>45320</v>
      </c>
      <c r="B514" s="119">
        <v>31957.05</v>
      </c>
    </row>
    <row r="515" spans="1:2" x14ac:dyDescent="0.35">
      <c r="A515" s="118">
        <v>45316</v>
      </c>
      <c r="B515" s="119">
        <v>31391.07</v>
      </c>
    </row>
    <row r="516" spans="1:2" x14ac:dyDescent="0.35">
      <c r="A516" s="118">
        <v>45315</v>
      </c>
      <c r="B516" s="119">
        <v>31540.07</v>
      </c>
    </row>
    <row r="517" spans="1:2" x14ac:dyDescent="0.35">
      <c r="A517" s="118">
        <v>45314</v>
      </c>
      <c r="B517" s="119">
        <v>31223.3</v>
      </c>
    </row>
    <row r="518" spans="1:2" x14ac:dyDescent="0.35">
      <c r="A518" s="118">
        <v>45311</v>
      </c>
      <c r="B518" s="119">
        <v>31712.86</v>
      </c>
    </row>
    <row r="519" spans="1:2" x14ac:dyDescent="0.35">
      <c r="A519" s="118">
        <v>45310</v>
      </c>
      <c r="B519" s="119">
        <v>31787.24</v>
      </c>
    </row>
    <row r="520" spans="1:2" x14ac:dyDescent="0.35">
      <c r="A520" s="118">
        <v>45309</v>
      </c>
      <c r="B520" s="119">
        <v>31538.400000000001</v>
      </c>
    </row>
    <row r="521" spans="1:2" x14ac:dyDescent="0.35">
      <c r="A521" s="118">
        <v>45308</v>
      </c>
      <c r="B521" s="119">
        <v>31699.64</v>
      </c>
    </row>
    <row r="522" spans="1:2" x14ac:dyDescent="0.35">
      <c r="A522" s="118">
        <v>45307</v>
      </c>
      <c r="B522" s="119">
        <v>32376.1</v>
      </c>
    </row>
    <row r="523" spans="1:2" x14ac:dyDescent="0.35">
      <c r="A523" s="118">
        <v>45306</v>
      </c>
      <c r="B523" s="119">
        <v>32471.8</v>
      </c>
    </row>
    <row r="524" spans="1:2" x14ac:dyDescent="0.35">
      <c r="A524" s="118">
        <v>45303</v>
      </c>
      <c r="B524" s="119">
        <v>32173.66</v>
      </c>
    </row>
    <row r="525" spans="1:2" x14ac:dyDescent="0.35">
      <c r="A525" s="118">
        <v>45302</v>
      </c>
      <c r="B525" s="119">
        <v>31810.18</v>
      </c>
    </row>
    <row r="526" spans="1:2" x14ac:dyDescent="0.35">
      <c r="A526" s="118">
        <v>45301</v>
      </c>
      <c r="B526" s="119">
        <v>31768.3</v>
      </c>
    </row>
    <row r="527" spans="1:2" x14ac:dyDescent="0.35">
      <c r="A527" s="118">
        <v>45300</v>
      </c>
      <c r="B527" s="119">
        <v>31659.81</v>
      </c>
    </row>
    <row r="528" spans="1:2" x14ac:dyDescent="0.35">
      <c r="A528" s="118">
        <v>45299</v>
      </c>
      <c r="B528" s="119">
        <v>31613.01</v>
      </c>
    </row>
    <row r="529" spans="1:2" x14ac:dyDescent="0.35">
      <c r="A529" s="118">
        <v>45296</v>
      </c>
      <c r="B529" s="119">
        <v>31903.69</v>
      </c>
    </row>
    <row r="530" spans="1:2" x14ac:dyDescent="0.35">
      <c r="A530" s="118">
        <v>45295</v>
      </c>
      <c r="B530" s="119">
        <v>31826.97</v>
      </c>
    </row>
    <row r="531" spans="1:2" x14ac:dyDescent="0.35">
      <c r="A531" s="118">
        <v>45294</v>
      </c>
      <c r="B531" s="119">
        <v>31619.360000000001</v>
      </c>
    </row>
    <row r="532" spans="1:2" x14ac:dyDescent="0.35">
      <c r="A532" s="118">
        <v>45293</v>
      </c>
      <c r="B532" s="119">
        <v>31837.56</v>
      </c>
    </row>
    <row r="533" spans="1:2" x14ac:dyDescent="0.35">
      <c r="A533" s="118">
        <v>45292</v>
      </c>
      <c r="B533" s="119">
        <v>31949.360000000001</v>
      </c>
    </row>
    <row r="534" spans="1:2" x14ac:dyDescent="0.35">
      <c r="A534" s="118">
        <v>45289</v>
      </c>
      <c r="B534" s="119">
        <v>31933.93</v>
      </c>
    </row>
    <row r="535" spans="1:2" x14ac:dyDescent="0.35">
      <c r="A535" s="118">
        <v>45288</v>
      </c>
      <c r="B535" s="119">
        <v>32003.47</v>
      </c>
    </row>
    <row r="536" spans="1:2" x14ac:dyDescent="0.35">
      <c r="A536" s="118">
        <v>45287</v>
      </c>
      <c r="B536" s="119">
        <v>31821.31</v>
      </c>
    </row>
    <row r="537" spans="1:2" x14ac:dyDescent="0.35">
      <c r="A537" s="118">
        <v>45286</v>
      </c>
      <c r="B537" s="119">
        <v>31507.69</v>
      </c>
    </row>
    <row r="538" spans="1:2" x14ac:dyDescent="0.35">
      <c r="A538" s="118">
        <v>45282</v>
      </c>
      <c r="B538" s="119">
        <v>31372.6</v>
      </c>
    </row>
    <row r="539" spans="1:2" x14ac:dyDescent="0.35">
      <c r="A539" s="118">
        <v>45281</v>
      </c>
      <c r="B539" s="119">
        <v>31233.93</v>
      </c>
    </row>
    <row r="540" spans="1:2" x14ac:dyDescent="0.35">
      <c r="A540" s="118">
        <v>45280</v>
      </c>
      <c r="B540" s="119">
        <v>31079.759999999998</v>
      </c>
    </row>
    <row r="541" spans="1:2" x14ac:dyDescent="0.35">
      <c r="A541" s="118">
        <v>45279</v>
      </c>
      <c r="B541" s="119">
        <v>31525</v>
      </c>
    </row>
    <row r="542" spans="1:2" x14ac:dyDescent="0.35">
      <c r="A542" s="118">
        <v>45278</v>
      </c>
      <c r="B542" s="119">
        <v>31474.35</v>
      </c>
    </row>
    <row r="543" spans="1:2" x14ac:dyDescent="0.35">
      <c r="A543" s="118">
        <v>45275</v>
      </c>
      <c r="B543" s="119">
        <v>31530.19</v>
      </c>
    </row>
    <row r="544" spans="1:2" x14ac:dyDescent="0.35">
      <c r="A544" s="118">
        <v>45274</v>
      </c>
      <c r="B544" s="119">
        <v>31127.599999999999</v>
      </c>
    </row>
    <row r="545" spans="1:2" x14ac:dyDescent="0.35">
      <c r="A545" s="118">
        <v>45273</v>
      </c>
      <c r="B545" s="119">
        <v>30750.95</v>
      </c>
    </row>
    <row r="546" spans="1:2" x14ac:dyDescent="0.35">
      <c r="A546" s="118">
        <v>45272</v>
      </c>
      <c r="B546" s="119">
        <v>30721.59</v>
      </c>
    </row>
    <row r="547" spans="1:2" x14ac:dyDescent="0.35">
      <c r="A547" s="118">
        <v>45271</v>
      </c>
      <c r="B547" s="119">
        <v>30854.9</v>
      </c>
    </row>
    <row r="548" spans="1:2" x14ac:dyDescent="0.35">
      <c r="A548" s="118">
        <v>45268</v>
      </c>
      <c r="B548" s="119">
        <v>30814.15</v>
      </c>
    </row>
    <row r="549" spans="1:2" x14ac:dyDescent="0.35">
      <c r="A549" s="118">
        <v>45267</v>
      </c>
      <c r="B549" s="119">
        <v>30713.86</v>
      </c>
    </row>
    <row r="550" spans="1:2" x14ac:dyDescent="0.35">
      <c r="A550" s="118">
        <v>45266</v>
      </c>
      <c r="B550" s="119">
        <v>30767.599999999999</v>
      </c>
    </row>
    <row r="551" spans="1:2" x14ac:dyDescent="0.35">
      <c r="A551" s="118">
        <v>45265</v>
      </c>
      <c r="B551" s="119">
        <v>30646.19</v>
      </c>
    </row>
    <row r="552" spans="1:2" x14ac:dyDescent="0.35">
      <c r="A552" s="118">
        <v>45264</v>
      </c>
      <c r="B552" s="119">
        <v>30398.91</v>
      </c>
    </row>
    <row r="553" spans="1:2" x14ac:dyDescent="0.35">
      <c r="A553" s="118">
        <v>45261</v>
      </c>
      <c r="B553" s="119">
        <v>29783.34</v>
      </c>
    </row>
    <row r="554" spans="1:2" x14ac:dyDescent="0.35">
      <c r="A554" s="118">
        <v>45260</v>
      </c>
      <c r="B554" s="119">
        <v>29585.360000000001</v>
      </c>
    </row>
    <row r="555" spans="1:2" x14ac:dyDescent="0.35">
      <c r="A555" s="118">
        <v>45259</v>
      </c>
      <c r="B555" s="119">
        <v>29531.63</v>
      </c>
    </row>
    <row r="556" spans="1:2" x14ac:dyDescent="0.35">
      <c r="A556" s="118">
        <v>45258</v>
      </c>
      <c r="B556" s="119">
        <v>29227.61</v>
      </c>
    </row>
    <row r="557" spans="1:2" x14ac:dyDescent="0.35">
      <c r="A557" s="118">
        <v>45254</v>
      </c>
      <c r="B557" s="119">
        <v>29087.95</v>
      </c>
    </row>
    <row r="558" spans="1:2" x14ac:dyDescent="0.35">
      <c r="A558" s="118">
        <v>45253</v>
      </c>
      <c r="B558" s="119">
        <v>29098.74</v>
      </c>
    </row>
    <row r="559" spans="1:2" x14ac:dyDescent="0.35">
      <c r="A559" s="118">
        <v>45252</v>
      </c>
      <c r="B559" s="119">
        <v>29113.18</v>
      </c>
    </row>
    <row r="560" spans="1:2" x14ac:dyDescent="0.35">
      <c r="A560" s="118">
        <v>45251</v>
      </c>
      <c r="B560" s="119">
        <v>29071.360000000001</v>
      </c>
    </row>
    <row r="561" spans="1:2" x14ac:dyDescent="0.35">
      <c r="A561" s="118">
        <v>45250</v>
      </c>
      <c r="B561" s="119">
        <v>28939.98</v>
      </c>
    </row>
    <row r="562" spans="1:2" x14ac:dyDescent="0.35">
      <c r="A562" s="118">
        <v>45247</v>
      </c>
      <c r="B562" s="119">
        <v>28995.52</v>
      </c>
    </row>
    <row r="563" spans="1:2" x14ac:dyDescent="0.35">
      <c r="A563" s="118">
        <v>45246</v>
      </c>
      <c r="B563" s="119">
        <v>29044.66</v>
      </c>
    </row>
    <row r="564" spans="1:2" x14ac:dyDescent="0.35">
      <c r="A564" s="118">
        <v>45245</v>
      </c>
      <c r="B564" s="119">
        <v>28906.7</v>
      </c>
    </row>
    <row r="565" spans="1:2" x14ac:dyDescent="0.35">
      <c r="A565" s="118">
        <v>45243</v>
      </c>
      <c r="B565" s="119">
        <v>28565.95</v>
      </c>
    </row>
    <row r="566" spans="1:2" x14ac:dyDescent="0.35">
      <c r="A566" s="118">
        <v>45242</v>
      </c>
      <c r="B566" s="119">
        <v>28686.47</v>
      </c>
    </row>
    <row r="567" spans="1:2" x14ac:dyDescent="0.35">
      <c r="A567" s="118">
        <v>45240</v>
      </c>
      <c r="B567" s="119">
        <v>28539.24</v>
      </c>
    </row>
    <row r="568" spans="1:2" x14ac:dyDescent="0.35">
      <c r="A568" s="118">
        <v>45239</v>
      </c>
      <c r="B568" s="119">
        <v>28495.08</v>
      </c>
    </row>
    <row r="569" spans="1:2" x14ac:dyDescent="0.35">
      <c r="A569" s="118">
        <v>45238</v>
      </c>
      <c r="B569" s="119">
        <v>28565.86</v>
      </c>
    </row>
    <row r="570" spans="1:2" x14ac:dyDescent="0.35">
      <c r="A570" s="118">
        <v>45237</v>
      </c>
      <c r="B570" s="119">
        <v>28511.81</v>
      </c>
    </row>
    <row r="571" spans="1:2" x14ac:dyDescent="0.35">
      <c r="A571" s="118">
        <v>45236</v>
      </c>
      <c r="B571" s="119">
        <v>28519.25</v>
      </c>
    </row>
    <row r="572" spans="1:2" x14ac:dyDescent="0.35">
      <c r="A572" s="118">
        <v>45233</v>
      </c>
      <c r="B572" s="119">
        <v>28253.09</v>
      </c>
    </row>
    <row r="573" spans="1:2" x14ac:dyDescent="0.35">
      <c r="A573" s="118">
        <v>45232</v>
      </c>
      <c r="B573" s="119">
        <v>28105.75</v>
      </c>
    </row>
    <row r="574" spans="1:2" x14ac:dyDescent="0.35">
      <c r="A574" s="118">
        <v>45231</v>
      </c>
      <c r="B574" s="119">
        <v>27886.240000000002</v>
      </c>
    </row>
    <row r="575" spans="1:2" x14ac:dyDescent="0.35">
      <c r="A575" s="118">
        <v>45230</v>
      </c>
      <c r="B575" s="119">
        <v>28017.360000000001</v>
      </c>
    </row>
    <row r="576" spans="1:2" x14ac:dyDescent="0.35">
      <c r="A576" s="118">
        <v>45229</v>
      </c>
      <c r="B576" s="119">
        <v>28107.42</v>
      </c>
    </row>
    <row r="577" spans="1:2" x14ac:dyDescent="0.35">
      <c r="A577" s="118">
        <v>45226</v>
      </c>
      <c r="B577" s="119">
        <v>27969.919999999998</v>
      </c>
    </row>
    <row r="578" spans="1:2" x14ac:dyDescent="0.35">
      <c r="A578" s="118">
        <v>45225</v>
      </c>
      <c r="B578" s="119">
        <v>27690.29</v>
      </c>
    </row>
    <row r="579" spans="1:2" x14ac:dyDescent="0.35">
      <c r="A579" s="118">
        <v>45224</v>
      </c>
      <c r="B579" s="119">
        <v>28079.26</v>
      </c>
    </row>
    <row r="580" spans="1:2" x14ac:dyDescent="0.35">
      <c r="A580" s="118">
        <v>45222</v>
      </c>
      <c r="B580" s="119">
        <v>28291.96</v>
      </c>
    </row>
    <row r="581" spans="1:2" x14ac:dyDescent="0.35">
      <c r="A581" s="118">
        <v>45219</v>
      </c>
      <c r="B581" s="119">
        <v>28674.78</v>
      </c>
    </row>
    <row r="582" spans="1:2" x14ac:dyDescent="0.35">
      <c r="A582" s="118">
        <v>45218</v>
      </c>
      <c r="B582" s="119">
        <v>28790.880000000001</v>
      </c>
    </row>
    <row r="583" spans="1:2" x14ac:dyDescent="0.35">
      <c r="A583" s="118">
        <v>45217</v>
      </c>
      <c r="B583" s="119">
        <v>28855.87</v>
      </c>
    </row>
    <row r="584" spans="1:2" x14ac:dyDescent="0.35">
      <c r="A584" s="118">
        <v>45216</v>
      </c>
      <c r="B584" s="119">
        <v>29061.8</v>
      </c>
    </row>
    <row r="585" spans="1:2" x14ac:dyDescent="0.35">
      <c r="A585" s="118">
        <v>45215</v>
      </c>
      <c r="B585" s="119">
        <v>28944.87</v>
      </c>
    </row>
    <row r="586" spans="1:2" x14ac:dyDescent="0.35">
      <c r="A586" s="118">
        <v>45212</v>
      </c>
      <c r="B586" s="119">
        <v>28973.14</v>
      </c>
    </row>
    <row r="587" spans="1:2" x14ac:dyDescent="0.35">
      <c r="A587" s="118">
        <v>45211</v>
      </c>
      <c r="B587" s="119">
        <v>29036.17</v>
      </c>
    </row>
    <row r="588" spans="1:2" x14ac:dyDescent="0.35">
      <c r="A588" s="118">
        <v>45210</v>
      </c>
      <c r="B588" s="119">
        <v>29061.61</v>
      </c>
    </row>
    <row r="589" spans="1:2" x14ac:dyDescent="0.35">
      <c r="A589" s="118">
        <v>45209</v>
      </c>
      <c r="B589" s="119">
        <v>28883.35</v>
      </c>
    </row>
    <row r="590" spans="1:2" x14ac:dyDescent="0.35">
      <c r="A590" s="118">
        <v>45208</v>
      </c>
      <c r="B590" s="119">
        <v>28622.98</v>
      </c>
    </row>
    <row r="591" spans="1:2" x14ac:dyDescent="0.35">
      <c r="A591" s="118">
        <v>45205</v>
      </c>
      <c r="B591" s="119">
        <v>28830.080000000002</v>
      </c>
    </row>
    <row r="592" spans="1:2" x14ac:dyDescent="0.35">
      <c r="A592" s="118">
        <v>45204</v>
      </c>
      <c r="B592" s="119">
        <v>28671.97</v>
      </c>
    </row>
    <row r="593" spans="1:2" x14ac:dyDescent="0.35">
      <c r="A593" s="118">
        <v>45203</v>
      </c>
      <c r="B593" s="119">
        <v>28511.13</v>
      </c>
    </row>
    <row r="594" spans="1:2" x14ac:dyDescent="0.35">
      <c r="A594" s="118">
        <v>45202</v>
      </c>
      <c r="B594" s="119">
        <v>28647.040000000001</v>
      </c>
    </row>
    <row r="595" spans="1:2" x14ac:dyDescent="0.35">
      <c r="A595" s="118">
        <v>45198</v>
      </c>
      <c r="B595" s="119">
        <v>28807.77</v>
      </c>
    </row>
    <row r="596" spans="1:2" x14ac:dyDescent="0.35">
      <c r="A596" s="118">
        <v>45197</v>
      </c>
      <c r="B596" s="119">
        <v>28639.439999999999</v>
      </c>
    </row>
    <row r="597" spans="1:2" x14ac:dyDescent="0.35">
      <c r="A597" s="118">
        <v>45196</v>
      </c>
      <c r="B597" s="119">
        <v>28922.43</v>
      </c>
    </row>
    <row r="598" spans="1:2" x14ac:dyDescent="0.35">
      <c r="A598" s="118">
        <v>45195</v>
      </c>
      <c r="B598" s="119">
        <v>28846.47</v>
      </c>
    </row>
    <row r="599" spans="1:2" x14ac:dyDescent="0.35">
      <c r="A599" s="118">
        <v>45194</v>
      </c>
      <c r="B599" s="119">
        <v>28860.9</v>
      </c>
    </row>
    <row r="600" spans="1:2" x14ac:dyDescent="0.35">
      <c r="A600" s="118">
        <v>45191</v>
      </c>
      <c r="B600" s="119">
        <v>28860.46</v>
      </c>
    </row>
    <row r="601" spans="1:2" x14ac:dyDescent="0.35">
      <c r="A601" s="118">
        <v>45190</v>
      </c>
      <c r="B601" s="119">
        <v>28960.36</v>
      </c>
    </row>
    <row r="602" spans="1:2" x14ac:dyDescent="0.35">
      <c r="A602" s="118">
        <v>45189</v>
      </c>
      <c r="B602" s="119">
        <v>29193.69</v>
      </c>
    </row>
    <row r="603" spans="1:2" x14ac:dyDescent="0.35">
      <c r="A603" s="118">
        <v>45187</v>
      </c>
      <c r="B603" s="119">
        <v>29533.91</v>
      </c>
    </row>
    <row r="604" spans="1:2" x14ac:dyDescent="0.35">
      <c r="A604" s="118">
        <v>45184</v>
      </c>
      <c r="B604" s="119">
        <v>29620.53</v>
      </c>
    </row>
    <row r="605" spans="1:2" x14ac:dyDescent="0.35">
      <c r="A605" s="118">
        <v>45183</v>
      </c>
      <c r="B605" s="119">
        <v>29489.61</v>
      </c>
    </row>
    <row r="606" spans="1:2" x14ac:dyDescent="0.35">
      <c r="A606" s="118">
        <v>45182</v>
      </c>
      <c r="B606" s="119">
        <v>29441.040000000001</v>
      </c>
    </row>
    <row r="607" spans="1:2" x14ac:dyDescent="0.35">
      <c r="A607" s="118">
        <v>45181</v>
      </c>
      <c r="B607" s="119">
        <v>29328.37</v>
      </c>
    </row>
    <row r="608" spans="1:2" x14ac:dyDescent="0.35">
      <c r="A608" s="118">
        <v>45180</v>
      </c>
      <c r="B608" s="119">
        <v>29333</v>
      </c>
    </row>
    <row r="609" spans="1:2" x14ac:dyDescent="0.35">
      <c r="A609" s="118">
        <v>45177</v>
      </c>
      <c r="B609" s="119">
        <v>29074.22</v>
      </c>
    </row>
    <row r="610" spans="1:2" x14ac:dyDescent="0.35">
      <c r="A610" s="118">
        <v>45176</v>
      </c>
      <c r="B610" s="119">
        <v>28937.96</v>
      </c>
    </row>
    <row r="611" spans="1:2" x14ac:dyDescent="0.35">
      <c r="A611" s="118">
        <v>45175</v>
      </c>
      <c r="B611" s="119">
        <v>28767.78</v>
      </c>
    </row>
    <row r="612" spans="1:2" x14ac:dyDescent="0.35">
      <c r="A612" s="118">
        <v>45174</v>
      </c>
      <c r="B612" s="119">
        <v>28714.78</v>
      </c>
    </row>
    <row r="613" spans="1:2" x14ac:dyDescent="0.35">
      <c r="A613" s="118">
        <v>45173</v>
      </c>
      <c r="B613" s="119">
        <v>28647.16</v>
      </c>
    </row>
    <row r="614" spans="1:2" x14ac:dyDescent="0.35">
      <c r="A614" s="118">
        <v>45170</v>
      </c>
      <c r="B614" s="119">
        <v>28509.94</v>
      </c>
    </row>
    <row r="615" spans="1:2" x14ac:dyDescent="0.35">
      <c r="A615" s="118">
        <v>45169</v>
      </c>
      <c r="B615" s="119">
        <v>28243.74</v>
      </c>
    </row>
    <row r="616" spans="1:2" x14ac:dyDescent="0.35">
      <c r="A616" s="118">
        <v>45168</v>
      </c>
      <c r="B616" s="119">
        <v>28381.13</v>
      </c>
    </row>
    <row r="617" spans="1:2" x14ac:dyDescent="0.35">
      <c r="A617" s="118">
        <v>45167</v>
      </c>
      <c r="B617" s="119">
        <v>28374.03</v>
      </c>
    </row>
    <row r="618" spans="1:2" x14ac:dyDescent="0.35">
      <c r="A618" s="118">
        <v>45166</v>
      </c>
      <c r="B618" s="119">
        <v>28320.400000000001</v>
      </c>
    </row>
    <row r="619" spans="1:2" x14ac:dyDescent="0.35">
      <c r="A619" s="118">
        <v>45163</v>
      </c>
      <c r="B619" s="119">
        <v>28261.32</v>
      </c>
    </row>
    <row r="620" spans="1:2" x14ac:dyDescent="0.35">
      <c r="A620" s="118">
        <v>45162</v>
      </c>
      <c r="B620" s="119">
        <v>28438.68</v>
      </c>
    </row>
    <row r="621" spans="1:2" x14ac:dyDescent="0.35">
      <c r="A621" s="118">
        <v>45161</v>
      </c>
      <c r="B621" s="119">
        <v>28522.76</v>
      </c>
    </row>
    <row r="622" spans="1:2" x14ac:dyDescent="0.35">
      <c r="A622" s="118">
        <v>45160</v>
      </c>
      <c r="B622" s="119">
        <v>28453.01</v>
      </c>
    </row>
    <row r="623" spans="1:2" x14ac:dyDescent="0.35">
      <c r="A623" s="118">
        <v>45159</v>
      </c>
      <c r="B623" s="119">
        <v>28448.83</v>
      </c>
    </row>
    <row r="624" spans="1:2" x14ac:dyDescent="0.35">
      <c r="A624" s="118">
        <v>45156</v>
      </c>
      <c r="B624" s="119">
        <v>28316.31</v>
      </c>
    </row>
    <row r="625" spans="1:2" x14ac:dyDescent="0.35">
      <c r="A625" s="118">
        <v>45155</v>
      </c>
      <c r="B625" s="119">
        <v>28393.16</v>
      </c>
    </row>
    <row r="626" spans="1:2" x14ac:dyDescent="0.35">
      <c r="A626" s="118">
        <v>45154</v>
      </c>
      <c r="B626" s="119">
        <v>28539.38</v>
      </c>
    </row>
    <row r="627" spans="1:2" x14ac:dyDescent="0.35">
      <c r="A627" s="118">
        <v>45152</v>
      </c>
      <c r="B627" s="119">
        <v>28494.78</v>
      </c>
    </row>
    <row r="628" spans="1:2" x14ac:dyDescent="0.35">
      <c r="A628" s="118">
        <v>45149</v>
      </c>
      <c r="B628" s="119">
        <v>28482.45</v>
      </c>
    </row>
    <row r="629" spans="1:2" x14ac:dyDescent="0.35">
      <c r="A629" s="118">
        <v>45148</v>
      </c>
      <c r="B629" s="119">
        <v>28638.92</v>
      </c>
    </row>
    <row r="630" spans="1:2" x14ac:dyDescent="0.35">
      <c r="A630" s="118">
        <v>45147</v>
      </c>
      <c r="B630" s="119">
        <v>28769.97</v>
      </c>
    </row>
    <row r="631" spans="1:2" x14ac:dyDescent="0.35">
      <c r="A631" s="118">
        <v>45146</v>
      </c>
      <c r="B631" s="119">
        <v>28661.08</v>
      </c>
    </row>
    <row r="632" spans="1:2" x14ac:dyDescent="0.35">
      <c r="A632" s="118">
        <v>45145</v>
      </c>
      <c r="B632" s="119">
        <v>28699.8</v>
      </c>
    </row>
    <row r="633" spans="1:2" x14ac:dyDescent="0.35">
      <c r="A633" s="118">
        <v>45142</v>
      </c>
      <c r="B633" s="119">
        <v>28582.25</v>
      </c>
    </row>
    <row r="634" spans="1:2" x14ac:dyDescent="0.35">
      <c r="A634" s="118">
        <v>45141</v>
      </c>
      <c r="B634" s="119">
        <v>28383.279999999999</v>
      </c>
    </row>
    <row r="635" spans="1:2" x14ac:dyDescent="0.35">
      <c r="A635" s="118">
        <v>45140</v>
      </c>
      <c r="B635" s="119">
        <v>28589.81</v>
      </c>
    </row>
    <row r="636" spans="1:2" x14ac:dyDescent="0.35">
      <c r="A636" s="118">
        <v>45139</v>
      </c>
      <c r="B636" s="119">
        <v>28880.78</v>
      </c>
    </row>
    <row r="637" spans="1:2" x14ac:dyDescent="0.35">
      <c r="A637" s="118">
        <v>45138</v>
      </c>
      <c r="B637" s="119">
        <v>28910.43</v>
      </c>
    </row>
    <row r="638" spans="1:2" x14ac:dyDescent="0.35">
      <c r="A638" s="118">
        <v>45135</v>
      </c>
      <c r="B638" s="119">
        <v>28752.69</v>
      </c>
    </row>
    <row r="639" spans="1:2" x14ac:dyDescent="0.35">
      <c r="A639" s="118">
        <v>45134</v>
      </c>
      <c r="B639" s="119">
        <v>28769.02</v>
      </c>
    </row>
    <row r="640" spans="1:2" x14ac:dyDescent="0.35">
      <c r="A640" s="118">
        <v>45133</v>
      </c>
      <c r="B640" s="119">
        <v>28939.3</v>
      </c>
    </row>
    <row r="641" spans="1:2" x14ac:dyDescent="0.35">
      <c r="A641" s="118">
        <v>45132</v>
      </c>
      <c r="B641" s="119">
        <v>28796.35</v>
      </c>
    </row>
    <row r="642" spans="1:2" x14ac:dyDescent="0.35">
      <c r="A642" s="118">
        <v>45131</v>
      </c>
      <c r="B642" s="119">
        <v>28784.26</v>
      </c>
    </row>
    <row r="643" spans="1:2" x14ac:dyDescent="0.35">
      <c r="A643" s="118">
        <v>45128</v>
      </c>
      <c r="B643" s="119">
        <v>28890.53</v>
      </c>
    </row>
    <row r="644" spans="1:2" x14ac:dyDescent="0.35">
      <c r="A644" s="118">
        <v>45127</v>
      </c>
      <c r="B644" s="119">
        <v>29231.71</v>
      </c>
    </row>
    <row r="645" spans="1:2" x14ac:dyDescent="0.35">
      <c r="A645" s="118">
        <v>45126</v>
      </c>
      <c r="B645" s="119">
        <v>29011.55</v>
      </c>
    </row>
    <row r="646" spans="1:2" x14ac:dyDescent="0.35">
      <c r="A646" s="118">
        <v>45125</v>
      </c>
      <c r="B646" s="119">
        <v>28888.85</v>
      </c>
    </row>
    <row r="647" spans="1:2" x14ac:dyDescent="0.35">
      <c r="A647" s="118">
        <v>45124</v>
      </c>
      <c r="B647" s="119">
        <v>28833.54</v>
      </c>
    </row>
    <row r="648" spans="1:2" x14ac:dyDescent="0.35">
      <c r="A648" s="118">
        <v>45121</v>
      </c>
      <c r="B648" s="119">
        <v>28618.6</v>
      </c>
    </row>
    <row r="649" spans="1:2" x14ac:dyDescent="0.35">
      <c r="A649" s="118">
        <v>45120</v>
      </c>
      <c r="B649" s="119">
        <v>28393.32</v>
      </c>
    </row>
    <row r="650" spans="1:2" x14ac:dyDescent="0.35">
      <c r="A650" s="118">
        <v>45119</v>
      </c>
      <c r="B650" s="119">
        <v>28348.880000000001</v>
      </c>
    </row>
    <row r="651" spans="1:2" x14ac:dyDescent="0.35">
      <c r="A651" s="118">
        <v>45118</v>
      </c>
      <c r="B651" s="119">
        <v>28429.42</v>
      </c>
    </row>
    <row r="652" spans="1:2" x14ac:dyDescent="0.35">
      <c r="A652" s="118">
        <v>45117</v>
      </c>
      <c r="B652" s="119">
        <v>28304.66</v>
      </c>
    </row>
    <row r="653" spans="1:2" x14ac:dyDescent="0.35">
      <c r="A653" s="118">
        <v>45114</v>
      </c>
      <c r="B653" s="119">
        <v>28269.43</v>
      </c>
    </row>
    <row r="654" spans="1:2" x14ac:dyDescent="0.35">
      <c r="A654" s="118">
        <v>45113</v>
      </c>
      <c r="B654" s="119">
        <v>28510.39</v>
      </c>
    </row>
    <row r="655" spans="1:2" x14ac:dyDescent="0.35">
      <c r="A655" s="118">
        <v>45112</v>
      </c>
      <c r="B655" s="119">
        <v>28365.96</v>
      </c>
    </row>
    <row r="656" spans="1:2" x14ac:dyDescent="0.35">
      <c r="A656" s="118">
        <v>45111</v>
      </c>
      <c r="B656" s="119">
        <v>28352.01</v>
      </c>
    </row>
    <row r="657" spans="1:2" x14ac:dyDescent="0.35">
      <c r="A657" s="118">
        <v>45110</v>
      </c>
      <c r="B657" s="119">
        <v>28254.9</v>
      </c>
    </row>
    <row r="658" spans="1:2" x14ac:dyDescent="0.35">
      <c r="A658" s="118">
        <v>45107</v>
      </c>
      <c r="B658" s="119">
        <v>28059.65</v>
      </c>
    </row>
    <row r="659" spans="1:2" x14ac:dyDescent="0.35">
      <c r="A659" s="118">
        <v>45105</v>
      </c>
      <c r="B659" s="119">
        <v>27739.64</v>
      </c>
    </row>
    <row r="660" spans="1:2" x14ac:dyDescent="0.35">
      <c r="A660" s="118">
        <v>45104</v>
      </c>
      <c r="B660" s="119">
        <v>27513.45</v>
      </c>
    </row>
    <row r="661" spans="1:2" x14ac:dyDescent="0.35">
      <c r="A661" s="118">
        <v>45103</v>
      </c>
      <c r="B661" s="119">
        <v>27328.91</v>
      </c>
    </row>
    <row r="662" spans="1:2" x14ac:dyDescent="0.35">
      <c r="A662" s="118">
        <v>45100</v>
      </c>
      <c r="B662" s="119">
        <v>27291.39</v>
      </c>
    </row>
    <row r="663" spans="1:2" x14ac:dyDescent="0.35">
      <c r="A663" s="118">
        <v>45099</v>
      </c>
      <c r="B663" s="119">
        <v>27445.97</v>
      </c>
    </row>
    <row r="664" spans="1:2" x14ac:dyDescent="0.35">
      <c r="A664" s="118">
        <v>45098</v>
      </c>
      <c r="B664" s="119">
        <v>27571.14</v>
      </c>
    </row>
    <row r="665" spans="1:2" x14ac:dyDescent="0.35">
      <c r="A665" s="118">
        <v>45097</v>
      </c>
      <c r="B665" s="119">
        <v>27512.41</v>
      </c>
    </row>
    <row r="666" spans="1:2" x14ac:dyDescent="0.35">
      <c r="A666" s="118">
        <v>45096</v>
      </c>
      <c r="B666" s="119">
        <v>27422.87</v>
      </c>
    </row>
    <row r="667" spans="1:2" x14ac:dyDescent="0.35">
      <c r="A667" s="118">
        <v>45093</v>
      </c>
      <c r="B667" s="119">
        <v>27519.439999999999</v>
      </c>
    </row>
    <row r="668" spans="1:2" x14ac:dyDescent="0.35">
      <c r="A668" s="118">
        <v>45092</v>
      </c>
      <c r="B668" s="119">
        <v>27317.25</v>
      </c>
    </row>
    <row r="669" spans="1:2" x14ac:dyDescent="0.35">
      <c r="A669" s="118">
        <v>45091</v>
      </c>
      <c r="B669" s="119">
        <v>27408.12</v>
      </c>
    </row>
    <row r="670" spans="1:2" x14ac:dyDescent="0.35">
      <c r="A670" s="118">
        <v>45090</v>
      </c>
      <c r="B670" s="119">
        <v>27350.09</v>
      </c>
    </row>
    <row r="671" spans="1:2" x14ac:dyDescent="0.35">
      <c r="A671" s="118">
        <v>45089</v>
      </c>
      <c r="B671" s="119">
        <v>27182.55</v>
      </c>
    </row>
    <row r="672" spans="1:2" x14ac:dyDescent="0.35">
      <c r="A672" s="118">
        <v>45086</v>
      </c>
      <c r="B672" s="119">
        <v>27126.86</v>
      </c>
    </row>
    <row r="673" spans="1:2" x14ac:dyDescent="0.35">
      <c r="A673" s="118">
        <v>45085</v>
      </c>
      <c r="B673" s="119">
        <v>27227.59</v>
      </c>
    </row>
    <row r="674" spans="1:2" x14ac:dyDescent="0.35">
      <c r="A674" s="118">
        <v>45084</v>
      </c>
      <c r="B674" s="119">
        <v>27361.85</v>
      </c>
    </row>
    <row r="675" spans="1:2" x14ac:dyDescent="0.35">
      <c r="A675" s="118">
        <v>45083</v>
      </c>
      <c r="B675" s="119">
        <v>27175.7</v>
      </c>
    </row>
    <row r="676" spans="1:2" x14ac:dyDescent="0.35">
      <c r="A676" s="118">
        <v>45082</v>
      </c>
      <c r="B676" s="119">
        <v>27168.13</v>
      </c>
    </row>
    <row r="677" spans="1:2" x14ac:dyDescent="0.35">
      <c r="A677" s="118">
        <v>45079</v>
      </c>
      <c r="B677" s="119">
        <v>27080.87</v>
      </c>
    </row>
    <row r="678" spans="1:2" x14ac:dyDescent="0.35">
      <c r="A678" s="118">
        <v>45078</v>
      </c>
      <c r="B678" s="119">
        <v>26989.35</v>
      </c>
    </row>
    <row r="679" spans="1:2" x14ac:dyDescent="0.35">
      <c r="A679" s="118">
        <v>45077</v>
      </c>
      <c r="B679" s="119">
        <v>27057.439999999999</v>
      </c>
    </row>
    <row r="680" spans="1:2" x14ac:dyDescent="0.35">
      <c r="A680" s="118">
        <v>45076</v>
      </c>
      <c r="B680" s="119">
        <v>27188.18</v>
      </c>
    </row>
    <row r="681" spans="1:2" x14ac:dyDescent="0.35">
      <c r="A681" s="118">
        <v>45075</v>
      </c>
      <c r="B681" s="119">
        <v>27136.82</v>
      </c>
    </row>
    <row r="682" spans="1:2" x14ac:dyDescent="0.35">
      <c r="A682" s="118">
        <v>45072</v>
      </c>
      <c r="B682" s="119">
        <v>26991.87</v>
      </c>
    </row>
    <row r="683" spans="1:2" x14ac:dyDescent="0.35">
      <c r="A683" s="118">
        <v>45071</v>
      </c>
      <c r="B683" s="119">
        <v>26731.86</v>
      </c>
    </row>
    <row r="684" spans="1:2" x14ac:dyDescent="0.35">
      <c r="A684" s="118">
        <v>45070</v>
      </c>
      <c r="B684" s="119">
        <v>26679.72</v>
      </c>
    </row>
    <row r="685" spans="1:2" x14ac:dyDescent="0.35">
      <c r="A685" s="118">
        <v>45069</v>
      </c>
      <c r="B685" s="119">
        <v>26771.1</v>
      </c>
    </row>
    <row r="686" spans="1:2" x14ac:dyDescent="0.35">
      <c r="A686" s="118">
        <v>45068</v>
      </c>
      <c r="B686" s="119">
        <v>26722.03</v>
      </c>
    </row>
    <row r="687" spans="1:2" x14ac:dyDescent="0.35">
      <c r="A687" s="118">
        <v>45065</v>
      </c>
      <c r="B687" s="119">
        <v>26560.1</v>
      </c>
    </row>
    <row r="688" spans="1:2" x14ac:dyDescent="0.35">
      <c r="A688" s="118">
        <v>45064</v>
      </c>
      <c r="B688" s="119">
        <v>26451.26</v>
      </c>
    </row>
    <row r="689" spans="1:2" x14ac:dyDescent="0.35">
      <c r="A689" s="118">
        <v>45063</v>
      </c>
      <c r="B689" s="119">
        <v>26526.82</v>
      </c>
    </row>
    <row r="690" spans="1:2" x14ac:dyDescent="0.35">
      <c r="A690" s="118">
        <v>45062</v>
      </c>
      <c r="B690" s="119">
        <v>26679.67</v>
      </c>
    </row>
    <row r="691" spans="1:2" x14ac:dyDescent="0.35">
      <c r="A691" s="118">
        <v>45061</v>
      </c>
      <c r="B691" s="119">
        <v>26789.02</v>
      </c>
    </row>
    <row r="692" spans="1:2" x14ac:dyDescent="0.35">
      <c r="A692" s="118">
        <v>45058</v>
      </c>
      <c r="B692" s="119">
        <v>26666.67</v>
      </c>
    </row>
    <row r="693" spans="1:2" x14ac:dyDescent="0.35">
      <c r="A693" s="118">
        <v>45057</v>
      </c>
      <c r="B693" s="119">
        <v>26640.77</v>
      </c>
    </row>
    <row r="694" spans="1:2" x14ac:dyDescent="0.35">
      <c r="A694" s="118">
        <v>45056</v>
      </c>
      <c r="B694" s="119">
        <v>26667.11</v>
      </c>
    </row>
    <row r="695" spans="1:2" x14ac:dyDescent="0.35">
      <c r="A695" s="118">
        <v>45055</v>
      </c>
      <c r="B695" s="119">
        <v>26595.52</v>
      </c>
    </row>
    <row r="696" spans="1:2" x14ac:dyDescent="0.35">
      <c r="A696" s="118">
        <v>45054</v>
      </c>
      <c r="B696" s="119">
        <v>26593.29</v>
      </c>
    </row>
    <row r="697" spans="1:2" x14ac:dyDescent="0.35">
      <c r="A697" s="118">
        <v>45051</v>
      </c>
      <c r="B697" s="119">
        <v>26308.78</v>
      </c>
    </row>
    <row r="698" spans="1:2" x14ac:dyDescent="0.35">
      <c r="A698" s="118">
        <v>45050</v>
      </c>
      <c r="B698" s="119">
        <v>26580.77</v>
      </c>
    </row>
    <row r="699" spans="1:2" x14ac:dyDescent="0.35">
      <c r="A699" s="118">
        <v>45049</v>
      </c>
      <c r="B699" s="119">
        <v>26339.14</v>
      </c>
    </row>
    <row r="700" spans="1:2" x14ac:dyDescent="0.35">
      <c r="A700" s="118">
        <v>45048</v>
      </c>
      <c r="B700" s="119">
        <v>26423.3</v>
      </c>
    </row>
    <row r="701" spans="1:2" x14ac:dyDescent="0.35">
      <c r="A701" s="118">
        <v>45044</v>
      </c>
      <c r="B701" s="119">
        <v>26302.92</v>
      </c>
    </row>
    <row r="702" spans="1:2" x14ac:dyDescent="0.35">
      <c r="A702" s="118">
        <v>45043</v>
      </c>
      <c r="B702" s="119">
        <v>26078.38</v>
      </c>
    </row>
    <row r="703" spans="1:2" x14ac:dyDescent="0.35">
      <c r="A703" s="118">
        <v>45042</v>
      </c>
      <c r="B703" s="119">
        <v>25930.7</v>
      </c>
    </row>
    <row r="704" spans="1:2" x14ac:dyDescent="0.35">
      <c r="A704" s="118">
        <v>45041</v>
      </c>
      <c r="B704" s="119">
        <v>25866.09</v>
      </c>
    </row>
    <row r="705" spans="1:2" x14ac:dyDescent="0.35">
      <c r="A705" s="118">
        <v>45040</v>
      </c>
      <c r="B705" s="119">
        <v>25828.46</v>
      </c>
    </row>
    <row r="706" spans="1:2" x14ac:dyDescent="0.35">
      <c r="A706" s="118">
        <v>45037</v>
      </c>
      <c r="B706" s="119">
        <v>25654.78</v>
      </c>
    </row>
    <row r="707" spans="1:2" x14ac:dyDescent="0.35">
      <c r="A707" s="118">
        <v>45036</v>
      </c>
      <c r="B707" s="119">
        <v>25654.16</v>
      </c>
    </row>
    <row r="708" spans="1:2" x14ac:dyDescent="0.35">
      <c r="A708" s="118">
        <v>45035</v>
      </c>
      <c r="B708" s="119">
        <v>25645.82</v>
      </c>
    </row>
    <row r="709" spans="1:2" x14ac:dyDescent="0.35">
      <c r="A709" s="118">
        <v>45034</v>
      </c>
      <c r="B709" s="119">
        <v>25706.09</v>
      </c>
    </row>
    <row r="710" spans="1:2" x14ac:dyDescent="0.35">
      <c r="A710" s="118">
        <v>45033</v>
      </c>
      <c r="B710" s="119">
        <v>25774.07</v>
      </c>
    </row>
    <row r="711" spans="1:2" x14ac:dyDescent="0.35">
      <c r="A711" s="118">
        <v>45029</v>
      </c>
      <c r="B711" s="119">
        <v>25950.39</v>
      </c>
    </row>
    <row r="712" spans="1:2" x14ac:dyDescent="0.35">
      <c r="A712" s="118">
        <v>45028</v>
      </c>
      <c r="B712" s="119">
        <v>25924.89</v>
      </c>
    </row>
    <row r="713" spans="1:2" x14ac:dyDescent="0.35">
      <c r="A713" s="118">
        <v>45027</v>
      </c>
      <c r="B713" s="119">
        <v>25793.77</v>
      </c>
    </row>
    <row r="714" spans="1:2" x14ac:dyDescent="0.35">
      <c r="A714" s="118">
        <v>45026</v>
      </c>
      <c r="B714" s="119">
        <v>25650.73</v>
      </c>
    </row>
    <row r="715" spans="1:2" x14ac:dyDescent="0.35">
      <c r="A715" s="118">
        <v>45022</v>
      </c>
      <c r="B715" s="119">
        <v>25614.55</v>
      </c>
    </row>
    <row r="716" spans="1:2" x14ac:dyDescent="0.35">
      <c r="A716" s="118">
        <v>45021</v>
      </c>
      <c r="B716" s="119">
        <v>25553.279999999999</v>
      </c>
    </row>
    <row r="717" spans="1:2" x14ac:dyDescent="0.35">
      <c r="A717" s="118">
        <v>45019</v>
      </c>
      <c r="B717" s="119">
        <v>25321.85</v>
      </c>
    </row>
    <row r="718" spans="1:2" x14ac:dyDescent="0.35">
      <c r="A718" s="118">
        <v>45016</v>
      </c>
      <c r="B718" s="119">
        <v>25266.06</v>
      </c>
    </row>
    <row r="719" spans="1:2" x14ac:dyDescent="0.35">
      <c r="A719" s="118">
        <v>45014</v>
      </c>
      <c r="B719" s="119">
        <v>24859.93</v>
      </c>
    </row>
    <row r="720" spans="1:2" x14ac:dyDescent="0.35">
      <c r="A720" s="118">
        <v>45013</v>
      </c>
      <c r="B720" s="119">
        <v>24672.17</v>
      </c>
    </row>
    <row r="721" spans="1:2" x14ac:dyDescent="0.35">
      <c r="A721" s="118">
        <v>45012</v>
      </c>
      <c r="B721" s="119">
        <v>24721.71</v>
      </c>
    </row>
    <row r="722" spans="1:2" x14ac:dyDescent="0.35">
      <c r="A722" s="118">
        <v>45009</v>
      </c>
      <c r="B722" s="119">
        <v>24662.53</v>
      </c>
    </row>
    <row r="723" spans="1:2" x14ac:dyDescent="0.35">
      <c r="A723" s="118">
        <v>45008</v>
      </c>
      <c r="B723" s="119">
        <v>24854.39</v>
      </c>
    </row>
    <row r="724" spans="1:2" x14ac:dyDescent="0.35">
      <c r="A724" s="118">
        <v>45007</v>
      </c>
      <c r="B724" s="119">
        <v>24963.55</v>
      </c>
    </row>
    <row r="725" spans="1:2" x14ac:dyDescent="0.35">
      <c r="A725" s="118">
        <v>45006</v>
      </c>
      <c r="B725" s="119">
        <v>24898.97</v>
      </c>
    </row>
    <row r="726" spans="1:2" x14ac:dyDescent="0.35">
      <c r="A726" s="118">
        <v>45005</v>
      </c>
      <c r="B726" s="119">
        <v>24725.599999999999</v>
      </c>
    </row>
    <row r="727" spans="1:2" x14ac:dyDescent="0.35">
      <c r="A727" s="118">
        <v>45002</v>
      </c>
      <c r="B727" s="119">
        <v>24888.1</v>
      </c>
    </row>
    <row r="728" spans="1:2" x14ac:dyDescent="0.35">
      <c r="A728" s="118">
        <v>45001</v>
      </c>
      <c r="B728" s="119">
        <v>24721.52</v>
      </c>
    </row>
    <row r="729" spans="1:2" x14ac:dyDescent="0.35">
      <c r="A729" s="118">
        <v>45000</v>
      </c>
      <c r="B729" s="119">
        <v>24701.599999999999</v>
      </c>
    </row>
    <row r="730" spans="1:2" x14ac:dyDescent="0.35">
      <c r="A730" s="118">
        <v>44999</v>
      </c>
      <c r="B730" s="119">
        <v>24805.11</v>
      </c>
    </row>
    <row r="731" spans="1:2" x14ac:dyDescent="0.35">
      <c r="A731" s="118">
        <v>44998</v>
      </c>
      <c r="B731" s="119">
        <v>24966.68</v>
      </c>
    </row>
    <row r="732" spans="1:2" x14ac:dyDescent="0.35">
      <c r="A732" s="118">
        <v>44995</v>
      </c>
      <c r="B732" s="119">
        <v>25343.09</v>
      </c>
    </row>
    <row r="733" spans="1:2" x14ac:dyDescent="0.35">
      <c r="A733" s="118">
        <v>44994</v>
      </c>
      <c r="B733" s="119">
        <v>25600.240000000002</v>
      </c>
    </row>
    <row r="734" spans="1:2" x14ac:dyDescent="0.35">
      <c r="A734" s="118">
        <v>44993</v>
      </c>
      <c r="B734" s="119">
        <v>25840.12</v>
      </c>
    </row>
    <row r="735" spans="1:2" x14ac:dyDescent="0.35">
      <c r="A735" s="118">
        <v>44991</v>
      </c>
      <c r="B735" s="119">
        <v>25777.599999999999</v>
      </c>
    </row>
    <row r="736" spans="1:2" x14ac:dyDescent="0.35">
      <c r="A736" s="118">
        <v>44988</v>
      </c>
      <c r="B736" s="119">
        <v>25607.14</v>
      </c>
    </row>
    <row r="737" spans="1:2" x14ac:dyDescent="0.35">
      <c r="A737" s="118">
        <v>44987</v>
      </c>
      <c r="B737" s="119">
        <v>25210.65</v>
      </c>
    </row>
    <row r="738" spans="1:2" x14ac:dyDescent="0.35">
      <c r="A738" s="118">
        <v>44986</v>
      </c>
      <c r="B738" s="119">
        <v>25398.400000000001</v>
      </c>
    </row>
    <row r="739" spans="1:2" x14ac:dyDescent="0.35">
      <c r="A739" s="118">
        <v>44985</v>
      </c>
      <c r="B739" s="119">
        <v>25184.47</v>
      </c>
    </row>
    <row r="740" spans="1:2" x14ac:dyDescent="0.35">
      <c r="A740" s="118">
        <v>44984</v>
      </c>
      <c r="B740" s="119">
        <v>25313.7</v>
      </c>
    </row>
    <row r="741" spans="1:2" x14ac:dyDescent="0.35">
      <c r="A741" s="118">
        <v>44981</v>
      </c>
      <c r="B741" s="119">
        <v>25420.07</v>
      </c>
    </row>
    <row r="742" spans="1:2" x14ac:dyDescent="0.35">
      <c r="A742" s="118">
        <v>44980</v>
      </c>
      <c r="B742" s="119">
        <v>25485.97</v>
      </c>
    </row>
    <row r="743" spans="1:2" x14ac:dyDescent="0.35">
      <c r="A743" s="118">
        <v>44979</v>
      </c>
      <c r="B743" s="119">
        <v>25548.67</v>
      </c>
    </row>
    <row r="744" spans="1:2" x14ac:dyDescent="0.35">
      <c r="A744" s="118">
        <v>44978</v>
      </c>
      <c r="B744" s="119">
        <v>25945.08</v>
      </c>
    </row>
    <row r="745" spans="1:2" x14ac:dyDescent="0.35">
      <c r="A745" s="118">
        <v>44977</v>
      </c>
      <c r="B745" s="119">
        <v>25971.19</v>
      </c>
    </row>
    <row r="746" spans="1:2" x14ac:dyDescent="0.35">
      <c r="A746" s="118">
        <v>44974</v>
      </c>
      <c r="B746" s="119">
        <v>26116.12</v>
      </c>
    </row>
    <row r="747" spans="1:2" x14ac:dyDescent="0.35">
      <c r="A747" s="118">
        <v>44973</v>
      </c>
      <c r="B747" s="119">
        <v>26249.52</v>
      </c>
    </row>
    <row r="748" spans="1:2" x14ac:dyDescent="0.35">
      <c r="A748" s="118">
        <v>44972</v>
      </c>
      <c r="B748" s="119">
        <v>26220.43</v>
      </c>
    </row>
    <row r="749" spans="1:2" x14ac:dyDescent="0.35">
      <c r="A749" s="118">
        <v>44971</v>
      </c>
      <c r="B749" s="119">
        <v>26077.93</v>
      </c>
    </row>
    <row r="750" spans="1:2" x14ac:dyDescent="0.35">
      <c r="A750" s="118">
        <v>44970</v>
      </c>
      <c r="B750" s="119">
        <v>25846.7</v>
      </c>
    </row>
    <row r="751" spans="1:2" x14ac:dyDescent="0.35">
      <c r="A751" s="118">
        <v>44967</v>
      </c>
      <c r="B751" s="119">
        <v>25971.23</v>
      </c>
    </row>
    <row r="752" spans="1:2" x14ac:dyDescent="0.35">
      <c r="A752" s="118">
        <v>44966</v>
      </c>
      <c r="B752" s="119">
        <v>26024.94</v>
      </c>
    </row>
    <row r="753" spans="1:2" x14ac:dyDescent="0.35">
      <c r="A753" s="118">
        <v>44965</v>
      </c>
      <c r="B753" s="119">
        <v>25993.34</v>
      </c>
    </row>
    <row r="754" spans="1:2" x14ac:dyDescent="0.35">
      <c r="A754" s="118">
        <v>44964</v>
      </c>
      <c r="B754" s="119">
        <v>25772.19</v>
      </c>
    </row>
    <row r="755" spans="1:2" x14ac:dyDescent="0.35">
      <c r="A755" s="118">
        <v>44963</v>
      </c>
      <c r="B755" s="119">
        <v>25834.87</v>
      </c>
    </row>
    <row r="756" spans="1:2" x14ac:dyDescent="0.35">
      <c r="A756" s="118">
        <v>44960</v>
      </c>
      <c r="B756" s="119">
        <v>25965</v>
      </c>
    </row>
    <row r="757" spans="1:2" x14ac:dyDescent="0.35">
      <c r="A757" s="118">
        <v>44959</v>
      </c>
      <c r="B757" s="119">
        <v>25610.65</v>
      </c>
    </row>
    <row r="758" spans="1:2" x14ac:dyDescent="0.35">
      <c r="A758" s="118">
        <v>44958</v>
      </c>
      <c r="B758" s="119">
        <v>25619.24</v>
      </c>
    </row>
    <row r="759" spans="1:2" x14ac:dyDescent="0.35">
      <c r="A759" s="118">
        <v>44957</v>
      </c>
      <c r="B759" s="119">
        <v>25685.94</v>
      </c>
    </row>
    <row r="760" spans="1:2" x14ac:dyDescent="0.35">
      <c r="A760" s="118">
        <v>44956</v>
      </c>
      <c r="B760" s="119">
        <v>25666.69</v>
      </c>
    </row>
    <row r="761" spans="1:2" x14ac:dyDescent="0.35">
      <c r="A761" s="118">
        <v>44953</v>
      </c>
      <c r="B761" s="119">
        <v>25601.88</v>
      </c>
    </row>
    <row r="762" spans="1:2" x14ac:dyDescent="0.35">
      <c r="A762" s="118">
        <v>44951</v>
      </c>
      <c r="B762" s="119">
        <v>26020.13</v>
      </c>
    </row>
    <row r="763" spans="1:2" x14ac:dyDescent="0.35">
      <c r="A763" s="118">
        <v>44950</v>
      </c>
      <c r="B763" s="119">
        <v>26349.279999999999</v>
      </c>
    </row>
    <row r="764" spans="1:2" x14ac:dyDescent="0.35">
      <c r="A764" s="118">
        <v>44949</v>
      </c>
      <c r="B764" s="119">
        <v>26349.14</v>
      </c>
    </row>
    <row r="765" spans="1:2" x14ac:dyDescent="0.35">
      <c r="A765" s="118">
        <v>44946</v>
      </c>
      <c r="B765" s="119">
        <v>26216.94</v>
      </c>
    </row>
    <row r="766" spans="1:2" x14ac:dyDescent="0.35">
      <c r="A766" s="118">
        <v>44945</v>
      </c>
      <c r="B766" s="119">
        <v>26333.57</v>
      </c>
    </row>
    <row r="767" spans="1:2" x14ac:dyDescent="0.35">
      <c r="A767" s="118">
        <v>44944</v>
      </c>
      <c r="B767" s="119">
        <v>26413.71</v>
      </c>
    </row>
    <row r="768" spans="1:2" x14ac:dyDescent="0.35">
      <c r="A768" s="118">
        <v>44943</v>
      </c>
      <c r="B768" s="119">
        <v>26250.81</v>
      </c>
    </row>
    <row r="769" spans="1:2" x14ac:dyDescent="0.35">
      <c r="A769" s="118">
        <v>44942</v>
      </c>
      <c r="B769" s="119">
        <v>26020.39</v>
      </c>
    </row>
    <row r="770" spans="1:2" x14ac:dyDescent="0.35">
      <c r="A770" s="118">
        <v>44939</v>
      </c>
      <c r="B770" s="119">
        <v>26110.2</v>
      </c>
    </row>
    <row r="771" spans="1:2" x14ac:dyDescent="0.35">
      <c r="A771" s="118">
        <v>44938</v>
      </c>
      <c r="B771" s="119">
        <v>25967.07</v>
      </c>
    </row>
    <row r="772" spans="1:2" x14ac:dyDescent="0.35">
      <c r="A772" s="118">
        <v>44937</v>
      </c>
      <c r="B772" s="119">
        <v>26021.599999999999</v>
      </c>
    </row>
    <row r="773" spans="1:2" x14ac:dyDescent="0.35">
      <c r="A773" s="118">
        <v>44936</v>
      </c>
      <c r="B773" s="119">
        <v>26048.47</v>
      </c>
    </row>
    <row r="774" spans="1:2" x14ac:dyDescent="0.35">
      <c r="A774" s="118">
        <v>44935</v>
      </c>
      <c r="B774" s="119">
        <v>26320.41</v>
      </c>
    </row>
    <row r="775" spans="1:2" x14ac:dyDescent="0.35">
      <c r="A775" s="118">
        <v>44932</v>
      </c>
      <c r="B775" s="119">
        <v>25968.95</v>
      </c>
    </row>
    <row r="776" spans="1:2" x14ac:dyDescent="0.35">
      <c r="A776" s="118">
        <v>44931</v>
      </c>
      <c r="B776" s="119">
        <v>26161.85</v>
      </c>
    </row>
    <row r="777" spans="1:2" x14ac:dyDescent="0.35">
      <c r="A777" s="118">
        <v>44930</v>
      </c>
      <c r="B777" s="119">
        <v>26235.73</v>
      </c>
    </row>
    <row r="778" spans="1:2" x14ac:dyDescent="0.35">
      <c r="A778" s="118">
        <v>44929</v>
      </c>
      <c r="B778" s="119">
        <v>26511.45</v>
      </c>
    </row>
    <row r="779" spans="1:2" x14ac:dyDescent="0.35">
      <c r="A779" s="118">
        <v>44928</v>
      </c>
      <c r="B779" s="119">
        <v>26460.41</v>
      </c>
    </row>
    <row r="780" spans="1:2" x14ac:dyDescent="0.35">
      <c r="A780" s="118">
        <v>44925</v>
      </c>
      <c r="B780" s="119">
        <v>26326.37</v>
      </c>
    </row>
    <row r="781" spans="1:2" x14ac:dyDescent="0.35">
      <c r="A781" s="118">
        <v>44924</v>
      </c>
      <c r="B781" s="119">
        <v>26451.02</v>
      </c>
    </row>
    <row r="782" spans="1:2" x14ac:dyDescent="0.35">
      <c r="A782" s="118">
        <v>44923</v>
      </c>
      <c r="B782" s="119">
        <v>26351.4</v>
      </c>
    </row>
    <row r="783" spans="1:2" x14ac:dyDescent="0.35">
      <c r="A783" s="118">
        <v>44922</v>
      </c>
      <c r="B783" s="119">
        <v>26365.65</v>
      </c>
    </row>
    <row r="784" spans="1:2" x14ac:dyDescent="0.35">
      <c r="A784" s="118">
        <v>44921</v>
      </c>
      <c r="B784" s="119">
        <v>26194.52</v>
      </c>
    </row>
    <row r="785" spans="1:2" x14ac:dyDescent="0.35">
      <c r="A785" s="118">
        <v>44918</v>
      </c>
      <c r="B785" s="119">
        <v>25892.35</v>
      </c>
    </row>
    <row r="786" spans="1:2" x14ac:dyDescent="0.35">
      <c r="A786" s="118">
        <v>44917</v>
      </c>
      <c r="B786" s="119">
        <v>26358.44</v>
      </c>
    </row>
    <row r="787" spans="1:2" x14ac:dyDescent="0.35">
      <c r="A787" s="118">
        <v>44916</v>
      </c>
      <c r="B787" s="119">
        <v>26462.77</v>
      </c>
    </row>
    <row r="788" spans="1:2" x14ac:dyDescent="0.35">
      <c r="A788" s="118">
        <v>44915</v>
      </c>
      <c r="B788" s="119">
        <v>26733.51</v>
      </c>
    </row>
    <row r="789" spans="1:2" x14ac:dyDescent="0.35">
      <c r="A789" s="118">
        <v>44914</v>
      </c>
      <c r="B789" s="119">
        <v>26784.68</v>
      </c>
    </row>
    <row r="790" spans="1:2" x14ac:dyDescent="0.35">
      <c r="A790" s="118">
        <v>44911</v>
      </c>
      <c r="B790" s="119">
        <v>26564.46</v>
      </c>
    </row>
    <row r="791" spans="1:2" x14ac:dyDescent="0.35">
      <c r="A791" s="118">
        <v>44910</v>
      </c>
      <c r="B791" s="119">
        <v>26776.560000000001</v>
      </c>
    </row>
    <row r="792" spans="1:2" x14ac:dyDescent="0.35">
      <c r="A792" s="118">
        <v>44909</v>
      </c>
      <c r="B792" s="119">
        <v>27133.4</v>
      </c>
    </row>
    <row r="793" spans="1:2" x14ac:dyDescent="0.35">
      <c r="A793" s="118">
        <v>44908</v>
      </c>
      <c r="B793" s="119">
        <v>27057.35</v>
      </c>
    </row>
    <row r="794" spans="1:2" x14ac:dyDescent="0.35">
      <c r="A794" s="118">
        <v>44907</v>
      </c>
      <c r="B794" s="119">
        <v>26896.21</v>
      </c>
    </row>
    <row r="795" spans="1:2" x14ac:dyDescent="0.35">
      <c r="A795" s="118">
        <v>44904</v>
      </c>
      <c r="B795" s="119">
        <v>26895.35</v>
      </c>
    </row>
    <row r="796" spans="1:2" x14ac:dyDescent="0.35">
      <c r="A796" s="118">
        <v>44903</v>
      </c>
      <c r="B796" s="119">
        <v>27059.31</v>
      </c>
    </row>
    <row r="797" spans="1:2" x14ac:dyDescent="0.35">
      <c r="A797" s="118">
        <v>44902</v>
      </c>
      <c r="B797" s="119">
        <v>26988.31</v>
      </c>
    </row>
    <row r="798" spans="1:2" x14ac:dyDescent="0.35">
      <c r="A798" s="118">
        <v>44901</v>
      </c>
      <c r="B798" s="119">
        <v>27107.87</v>
      </c>
    </row>
    <row r="799" spans="1:2" x14ac:dyDescent="0.35">
      <c r="A799" s="118">
        <v>44900</v>
      </c>
      <c r="B799" s="119">
        <v>27192.639999999999</v>
      </c>
    </row>
    <row r="800" spans="1:2" x14ac:dyDescent="0.35">
      <c r="A800" s="118">
        <v>44897</v>
      </c>
      <c r="B800" s="119">
        <v>27185.439999999999</v>
      </c>
    </row>
    <row r="801" spans="1:2" x14ac:dyDescent="0.35">
      <c r="A801" s="118">
        <v>44896</v>
      </c>
      <c r="B801" s="119">
        <v>27354.74</v>
      </c>
    </row>
    <row r="802" spans="1:2" x14ac:dyDescent="0.35">
      <c r="A802" s="118">
        <v>44895</v>
      </c>
      <c r="B802" s="119">
        <v>27276.01</v>
      </c>
    </row>
    <row r="803" spans="1:2" x14ac:dyDescent="0.35">
      <c r="A803" s="118">
        <v>44894</v>
      </c>
      <c r="B803" s="119">
        <v>27071.98</v>
      </c>
    </row>
    <row r="804" spans="1:2" x14ac:dyDescent="0.35">
      <c r="A804" s="118">
        <v>44893</v>
      </c>
      <c r="B804" s="119">
        <v>26991.599999999999</v>
      </c>
    </row>
    <row r="805" spans="1:2" x14ac:dyDescent="0.35">
      <c r="A805" s="118">
        <v>44890</v>
      </c>
      <c r="B805" s="119">
        <v>26918.89</v>
      </c>
    </row>
    <row r="806" spans="1:2" x14ac:dyDescent="0.35">
      <c r="A806" s="118">
        <v>44889</v>
      </c>
      <c r="B806" s="119">
        <v>26877.24</v>
      </c>
    </row>
    <row r="807" spans="1:2" x14ac:dyDescent="0.35">
      <c r="A807" s="118">
        <v>44888</v>
      </c>
      <c r="B807" s="119">
        <v>26561.89</v>
      </c>
    </row>
    <row r="808" spans="1:2" x14ac:dyDescent="0.35">
      <c r="A808" s="118">
        <v>44887</v>
      </c>
      <c r="B808" s="119">
        <v>26528.400000000001</v>
      </c>
    </row>
    <row r="809" spans="1:2" x14ac:dyDescent="0.35">
      <c r="A809" s="118">
        <v>44886</v>
      </c>
      <c r="B809" s="119">
        <v>26405.9</v>
      </c>
    </row>
    <row r="810" spans="1:2" x14ac:dyDescent="0.35">
      <c r="A810" s="118">
        <v>44883</v>
      </c>
      <c r="B810" s="119">
        <v>26620.61</v>
      </c>
    </row>
    <row r="811" spans="1:2" x14ac:dyDescent="0.35">
      <c r="A811" s="118">
        <v>44882</v>
      </c>
      <c r="B811" s="119">
        <v>26673.32</v>
      </c>
    </row>
    <row r="812" spans="1:2" x14ac:dyDescent="0.35">
      <c r="A812" s="118">
        <v>44881</v>
      </c>
      <c r="B812" s="119">
        <v>26768.95</v>
      </c>
    </row>
    <row r="813" spans="1:2" x14ac:dyDescent="0.35">
      <c r="A813" s="118">
        <v>44880</v>
      </c>
      <c r="B813" s="119">
        <v>26759.85</v>
      </c>
    </row>
    <row r="814" spans="1:2" x14ac:dyDescent="0.35">
      <c r="A814" s="118">
        <v>44879</v>
      </c>
      <c r="B814" s="119">
        <v>26651.93</v>
      </c>
    </row>
    <row r="815" spans="1:2" x14ac:dyDescent="0.35">
      <c r="A815" s="118">
        <v>44876</v>
      </c>
      <c r="B815" s="119">
        <v>26681.759999999998</v>
      </c>
    </row>
    <row r="816" spans="1:2" x14ac:dyDescent="0.35">
      <c r="A816" s="118">
        <v>44875</v>
      </c>
      <c r="B816" s="119">
        <v>26214.31</v>
      </c>
    </row>
    <row r="817" spans="1:2" x14ac:dyDescent="0.35">
      <c r="A817" s="118">
        <v>44874</v>
      </c>
      <c r="B817" s="119">
        <v>26401.58</v>
      </c>
    </row>
    <row r="818" spans="1:2" x14ac:dyDescent="0.35">
      <c r="A818" s="118">
        <v>44872</v>
      </c>
      <c r="B818" s="119">
        <v>26464.44</v>
      </c>
    </row>
    <row r="819" spans="1:2" x14ac:dyDescent="0.35">
      <c r="A819" s="118">
        <v>44869</v>
      </c>
      <c r="B819" s="119">
        <v>26339.9</v>
      </c>
    </row>
    <row r="820" spans="1:2" x14ac:dyDescent="0.35">
      <c r="A820" s="118">
        <v>44868</v>
      </c>
      <c r="B820" s="119">
        <v>26246.23</v>
      </c>
    </row>
    <row r="821" spans="1:2" x14ac:dyDescent="0.35">
      <c r="A821" s="118">
        <v>44867</v>
      </c>
      <c r="B821" s="119">
        <v>26290.01</v>
      </c>
    </row>
    <row r="822" spans="1:2" x14ac:dyDescent="0.35">
      <c r="A822" s="118">
        <v>44866</v>
      </c>
      <c r="B822" s="119">
        <v>26380.97</v>
      </c>
    </row>
    <row r="823" spans="1:2" x14ac:dyDescent="0.35">
      <c r="A823" s="118">
        <v>44865</v>
      </c>
      <c r="B823" s="119">
        <v>26182.36</v>
      </c>
    </row>
    <row r="824" spans="1:2" x14ac:dyDescent="0.35">
      <c r="A824" s="118">
        <v>44862</v>
      </c>
      <c r="B824" s="119">
        <v>25852.720000000001</v>
      </c>
    </row>
    <row r="825" spans="1:2" x14ac:dyDescent="0.35">
      <c r="A825" s="118">
        <v>44861</v>
      </c>
      <c r="B825" s="119">
        <v>25780.23</v>
      </c>
    </row>
    <row r="826" spans="1:2" x14ac:dyDescent="0.35">
      <c r="A826" s="118">
        <v>44859</v>
      </c>
      <c r="B826" s="119">
        <v>25643.34</v>
      </c>
    </row>
    <row r="827" spans="1:2" x14ac:dyDescent="0.35">
      <c r="A827" s="118">
        <v>44858</v>
      </c>
      <c r="B827" s="119">
        <v>25751.45</v>
      </c>
    </row>
    <row r="828" spans="1:2" x14ac:dyDescent="0.35">
      <c r="A828" s="118">
        <v>44855</v>
      </c>
      <c r="B828" s="119">
        <v>25527.09</v>
      </c>
    </row>
    <row r="829" spans="1:2" x14ac:dyDescent="0.35">
      <c r="A829" s="118">
        <v>44854</v>
      </c>
      <c r="B829" s="119">
        <v>25509.14</v>
      </c>
    </row>
    <row r="830" spans="1:2" x14ac:dyDescent="0.35">
      <c r="A830" s="118">
        <v>44853</v>
      </c>
      <c r="B830" s="119">
        <v>25434.1</v>
      </c>
    </row>
    <row r="831" spans="1:2" x14ac:dyDescent="0.35">
      <c r="A831" s="118">
        <v>44852</v>
      </c>
      <c r="B831" s="119">
        <v>25393.89</v>
      </c>
    </row>
    <row r="832" spans="1:2" x14ac:dyDescent="0.35">
      <c r="A832" s="118">
        <v>44851</v>
      </c>
      <c r="B832" s="119">
        <v>25139.55</v>
      </c>
    </row>
    <row r="833" spans="1:2" x14ac:dyDescent="0.35">
      <c r="A833" s="118">
        <v>44848</v>
      </c>
      <c r="B833" s="119">
        <v>24953.75</v>
      </c>
    </row>
    <row r="834" spans="1:2" x14ac:dyDescent="0.35">
      <c r="A834" s="118">
        <v>44847</v>
      </c>
      <c r="B834" s="119">
        <v>24704.95</v>
      </c>
    </row>
    <row r="835" spans="1:2" x14ac:dyDescent="0.35">
      <c r="A835" s="118">
        <v>44846</v>
      </c>
      <c r="B835" s="119">
        <v>24863.58</v>
      </c>
    </row>
    <row r="836" spans="1:2" x14ac:dyDescent="0.35">
      <c r="A836" s="118">
        <v>44845</v>
      </c>
      <c r="B836" s="119">
        <v>24660.2</v>
      </c>
    </row>
    <row r="837" spans="1:2" x14ac:dyDescent="0.35">
      <c r="A837" s="118">
        <v>44844</v>
      </c>
      <c r="B837" s="119">
        <v>25034.02</v>
      </c>
    </row>
    <row r="838" spans="1:2" x14ac:dyDescent="0.35">
      <c r="A838" s="118">
        <v>44841</v>
      </c>
      <c r="B838" s="119">
        <v>25140.99</v>
      </c>
    </row>
    <row r="839" spans="1:2" x14ac:dyDescent="0.35">
      <c r="A839" s="118">
        <v>44840</v>
      </c>
      <c r="B839" s="119">
        <v>25165.85</v>
      </c>
    </row>
    <row r="840" spans="1:2" x14ac:dyDescent="0.35">
      <c r="A840" s="118">
        <v>44838</v>
      </c>
      <c r="B840" s="119">
        <v>25082.39</v>
      </c>
    </row>
    <row r="841" spans="1:2" x14ac:dyDescent="0.35">
      <c r="A841" s="118">
        <v>44837</v>
      </c>
      <c r="B841" s="119">
        <v>24520.52</v>
      </c>
    </row>
    <row r="842" spans="1:2" x14ac:dyDescent="0.35">
      <c r="A842" s="118">
        <v>44834</v>
      </c>
      <c r="B842" s="119">
        <v>24821.08</v>
      </c>
    </row>
    <row r="843" spans="1:2" x14ac:dyDescent="0.35">
      <c r="A843" s="118">
        <v>44833</v>
      </c>
      <c r="B843" s="119">
        <v>24419.98</v>
      </c>
    </row>
    <row r="844" spans="1:2" x14ac:dyDescent="0.35">
      <c r="A844" s="118">
        <v>44832</v>
      </c>
      <c r="B844" s="119">
        <v>24478.82</v>
      </c>
    </row>
    <row r="845" spans="1:2" x14ac:dyDescent="0.35">
      <c r="A845" s="118">
        <v>44831</v>
      </c>
      <c r="B845" s="119">
        <v>24694.83</v>
      </c>
    </row>
    <row r="846" spans="1:2" x14ac:dyDescent="0.35">
      <c r="A846" s="118">
        <v>44830</v>
      </c>
      <c r="B846" s="119">
        <v>24707.77</v>
      </c>
    </row>
    <row r="847" spans="1:2" x14ac:dyDescent="0.35">
      <c r="A847" s="118">
        <v>44827</v>
      </c>
      <c r="B847" s="119">
        <v>25159.42</v>
      </c>
    </row>
    <row r="848" spans="1:2" x14ac:dyDescent="0.35">
      <c r="A848" s="118">
        <v>44826</v>
      </c>
      <c r="B848" s="119">
        <v>25598.6</v>
      </c>
    </row>
    <row r="849" spans="1:2" x14ac:dyDescent="0.35">
      <c r="A849" s="118">
        <v>44825</v>
      </c>
      <c r="B849" s="119">
        <v>25727.13</v>
      </c>
    </row>
    <row r="850" spans="1:2" x14ac:dyDescent="0.35">
      <c r="A850" s="118">
        <v>44824</v>
      </c>
      <c r="B850" s="119">
        <v>25869.27</v>
      </c>
    </row>
    <row r="851" spans="1:2" x14ac:dyDescent="0.35">
      <c r="A851" s="118">
        <v>44823</v>
      </c>
      <c r="B851" s="119">
        <v>25587.63</v>
      </c>
    </row>
    <row r="852" spans="1:2" x14ac:dyDescent="0.35">
      <c r="A852" s="118">
        <v>44820</v>
      </c>
      <c r="B852" s="119">
        <v>25454.93</v>
      </c>
    </row>
    <row r="853" spans="1:2" x14ac:dyDescent="0.35">
      <c r="A853" s="118">
        <v>44819</v>
      </c>
      <c r="B853" s="119">
        <v>25958.06</v>
      </c>
    </row>
    <row r="854" spans="1:2" x14ac:dyDescent="0.35">
      <c r="A854" s="118">
        <v>44818</v>
      </c>
      <c r="B854" s="119">
        <v>26141.52</v>
      </c>
    </row>
    <row r="855" spans="1:2" x14ac:dyDescent="0.35">
      <c r="A855" s="118">
        <v>44817</v>
      </c>
      <c r="B855" s="119">
        <v>26237.81</v>
      </c>
    </row>
    <row r="856" spans="1:2" x14ac:dyDescent="0.35">
      <c r="A856" s="118">
        <v>44816</v>
      </c>
      <c r="B856" s="119">
        <v>26043.69</v>
      </c>
    </row>
    <row r="857" spans="1:2" x14ac:dyDescent="0.35">
      <c r="A857" s="118">
        <v>44813</v>
      </c>
      <c r="B857" s="119">
        <v>25894.12</v>
      </c>
    </row>
    <row r="858" spans="1:2" x14ac:dyDescent="0.35">
      <c r="A858" s="118">
        <v>44812</v>
      </c>
      <c r="B858" s="119">
        <v>25843.86</v>
      </c>
    </row>
    <row r="859" spans="1:2" x14ac:dyDescent="0.35">
      <c r="A859" s="118">
        <v>44811</v>
      </c>
      <c r="B859" s="119">
        <v>25590.73</v>
      </c>
    </row>
    <row r="860" spans="1:2" x14ac:dyDescent="0.35">
      <c r="A860" s="118">
        <v>44810</v>
      </c>
      <c r="B860" s="119">
        <v>25636.01</v>
      </c>
    </row>
    <row r="861" spans="1:2" x14ac:dyDescent="0.35">
      <c r="A861" s="118">
        <v>44809</v>
      </c>
      <c r="B861" s="119">
        <v>25650.83</v>
      </c>
    </row>
    <row r="862" spans="1:2" x14ac:dyDescent="0.35">
      <c r="A862" s="118">
        <v>44806</v>
      </c>
      <c r="B862" s="119">
        <v>25467.41</v>
      </c>
    </row>
    <row r="863" spans="1:2" x14ac:dyDescent="0.35">
      <c r="A863" s="118">
        <v>44805</v>
      </c>
      <c r="B863" s="119">
        <v>25472.240000000002</v>
      </c>
    </row>
    <row r="864" spans="1:2" x14ac:dyDescent="0.35">
      <c r="A864" s="118">
        <v>44803</v>
      </c>
      <c r="B864" s="119">
        <v>25786.59</v>
      </c>
    </row>
    <row r="865" spans="1:2" x14ac:dyDescent="0.35">
      <c r="A865" s="118">
        <v>44802</v>
      </c>
      <c r="B865" s="119">
        <v>25138.400000000001</v>
      </c>
    </row>
    <row r="866" spans="1:2" x14ac:dyDescent="0.35">
      <c r="A866" s="118">
        <v>44799</v>
      </c>
      <c r="B866" s="119">
        <v>25495.64</v>
      </c>
    </row>
    <row r="867" spans="1:2" x14ac:dyDescent="0.35">
      <c r="A867" s="118">
        <v>44798</v>
      </c>
      <c r="B867" s="119">
        <v>25442.67</v>
      </c>
    </row>
    <row r="868" spans="1:2" x14ac:dyDescent="0.35">
      <c r="A868" s="118">
        <v>44797</v>
      </c>
      <c r="B868" s="119">
        <v>25562.51</v>
      </c>
    </row>
    <row r="869" spans="1:2" x14ac:dyDescent="0.35">
      <c r="A869" s="118">
        <v>44796</v>
      </c>
      <c r="B869" s="119">
        <v>25522.62</v>
      </c>
    </row>
    <row r="870" spans="1:2" x14ac:dyDescent="0.35">
      <c r="A870" s="118">
        <v>44795</v>
      </c>
      <c r="B870" s="119">
        <v>25396.57</v>
      </c>
    </row>
    <row r="871" spans="1:2" x14ac:dyDescent="0.35">
      <c r="A871" s="118">
        <v>44792</v>
      </c>
      <c r="B871" s="119">
        <v>25785.4</v>
      </c>
    </row>
    <row r="872" spans="1:2" x14ac:dyDescent="0.35">
      <c r="A872" s="118">
        <v>44791</v>
      </c>
      <c r="B872" s="119">
        <v>26067.35</v>
      </c>
    </row>
    <row r="873" spans="1:2" x14ac:dyDescent="0.35">
      <c r="A873" s="118">
        <v>44790</v>
      </c>
      <c r="B873" s="119">
        <v>26035.87</v>
      </c>
    </row>
    <row r="874" spans="1:2" x14ac:dyDescent="0.35">
      <c r="A874" s="118">
        <v>44789</v>
      </c>
      <c r="B874" s="119">
        <v>25863.24</v>
      </c>
    </row>
    <row r="875" spans="1:2" x14ac:dyDescent="0.35">
      <c r="A875" s="118">
        <v>44785</v>
      </c>
      <c r="B875" s="119">
        <v>25678.83</v>
      </c>
    </row>
    <row r="876" spans="1:2" x14ac:dyDescent="0.35">
      <c r="A876" s="118">
        <v>44784</v>
      </c>
      <c r="B876" s="119">
        <v>25621.06</v>
      </c>
    </row>
    <row r="877" spans="1:2" x14ac:dyDescent="0.35">
      <c r="A877" s="118">
        <v>44783</v>
      </c>
      <c r="B877" s="119">
        <v>25431.919999999998</v>
      </c>
    </row>
    <row r="878" spans="1:2" x14ac:dyDescent="0.35">
      <c r="A878" s="118">
        <v>44781</v>
      </c>
      <c r="B878" s="119">
        <v>25413.25</v>
      </c>
    </row>
    <row r="879" spans="1:2" x14ac:dyDescent="0.35">
      <c r="A879" s="118">
        <v>44778</v>
      </c>
      <c r="B879" s="119">
        <v>25215.93</v>
      </c>
    </row>
    <row r="880" spans="1:2" x14ac:dyDescent="0.35">
      <c r="A880" s="118">
        <v>44777</v>
      </c>
      <c r="B880" s="119">
        <v>25193.41</v>
      </c>
    </row>
    <row r="881" spans="1:2" x14ac:dyDescent="0.35">
      <c r="A881" s="118">
        <v>44776</v>
      </c>
      <c r="B881" s="119">
        <v>25202.38</v>
      </c>
    </row>
    <row r="882" spans="1:2" x14ac:dyDescent="0.35">
      <c r="A882" s="118">
        <v>44775</v>
      </c>
      <c r="B882" s="119">
        <v>25137.82</v>
      </c>
    </row>
    <row r="883" spans="1:2" x14ac:dyDescent="0.35">
      <c r="A883" s="118">
        <v>44774</v>
      </c>
      <c r="B883" s="119">
        <v>25128.57</v>
      </c>
    </row>
    <row r="884" spans="1:2" x14ac:dyDescent="0.35">
      <c r="A884" s="118">
        <v>44771</v>
      </c>
      <c r="B884" s="119">
        <v>24862.7</v>
      </c>
    </row>
    <row r="885" spans="1:2" x14ac:dyDescent="0.35">
      <c r="A885" s="118">
        <v>44770</v>
      </c>
      <c r="B885" s="119">
        <v>24531.38</v>
      </c>
    </row>
    <row r="886" spans="1:2" x14ac:dyDescent="0.35">
      <c r="A886" s="118">
        <v>44769</v>
      </c>
      <c r="B886" s="119">
        <v>24114.41</v>
      </c>
    </row>
    <row r="887" spans="1:2" x14ac:dyDescent="0.35">
      <c r="A887" s="118">
        <v>44768</v>
      </c>
      <c r="B887" s="119">
        <v>23882.26</v>
      </c>
    </row>
    <row r="888" spans="1:2" x14ac:dyDescent="0.35">
      <c r="A888" s="118">
        <v>44767</v>
      </c>
      <c r="B888" s="119">
        <v>24095.46</v>
      </c>
    </row>
    <row r="889" spans="1:2" x14ac:dyDescent="0.35">
      <c r="A889" s="118">
        <v>44764</v>
      </c>
      <c r="B889" s="119">
        <v>24223.56</v>
      </c>
    </row>
    <row r="890" spans="1:2" x14ac:dyDescent="0.35">
      <c r="A890" s="118">
        <v>44763</v>
      </c>
      <c r="B890" s="119">
        <v>24058.17</v>
      </c>
    </row>
    <row r="891" spans="1:2" x14ac:dyDescent="0.35">
      <c r="A891" s="118">
        <v>44762</v>
      </c>
      <c r="B891" s="119">
        <v>23920.880000000001</v>
      </c>
    </row>
    <row r="892" spans="1:2" x14ac:dyDescent="0.35">
      <c r="A892" s="118">
        <v>44761</v>
      </c>
      <c r="B892" s="119">
        <v>23659.85</v>
      </c>
    </row>
    <row r="893" spans="1:2" x14ac:dyDescent="0.35">
      <c r="A893" s="118">
        <v>44760</v>
      </c>
      <c r="B893" s="119">
        <v>23566.52</v>
      </c>
    </row>
    <row r="894" spans="1:2" x14ac:dyDescent="0.35">
      <c r="A894" s="118">
        <v>44757</v>
      </c>
      <c r="B894" s="119">
        <v>23234.52</v>
      </c>
    </row>
    <row r="895" spans="1:2" x14ac:dyDescent="0.35">
      <c r="A895" s="118">
        <v>44756</v>
      </c>
      <c r="B895" s="119">
        <v>23074.52</v>
      </c>
    </row>
    <row r="896" spans="1:2" x14ac:dyDescent="0.35">
      <c r="A896" s="118">
        <v>44755</v>
      </c>
      <c r="B896" s="119">
        <v>23107.47</v>
      </c>
    </row>
    <row r="897" spans="1:2" x14ac:dyDescent="0.35">
      <c r="A897" s="118">
        <v>44754</v>
      </c>
      <c r="B897" s="119">
        <v>23239.9</v>
      </c>
    </row>
    <row r="898" spans="1:2" x14ac:dyDescent="0.35">
      <c r="A898" s="118">
        <v>44753</v>
      </c>
      <c r="B898" s="119">
        <v>23468.14</v>
      </c>
    </row>
    <row r="899" spans="1:2" x14ac:dyDescent="0.35">
      <c r="A899" s="118">
        <v>44750</v>
      </c>
      <c r="B899" s="119">
        <v>23473.61</v>
      </c>
    </row>
    <row r="900" spans="1:2" x14ac:dyDescent="0.35">
      <c r="A900" s="118">
        <v>44749</v>
      </c>
      <c r="B900" s="119">
        <v>23345.61</v>
      </c>
    </row>
    <row r="901" spans="1:2" x14ac:dyDescent="0.35">
      <c r="A901" s="118">
        <v>44748</v>
      </c>
      <c r="B901" s="119">
        <v>23137.7</v>
      </c>
    </row>
    <row r="902" spans="1:2" x14ac:dyDescent="0.35">
      <c r="A902" s="118">
        <v>44747</v>
      </c>
      <c r="B902" s="119">
        <v>22878.720000000001</v>
      </c>
    </row>
    <row r="903" spans="1:2" x14ac:dyDescent="0.35">
      <c r="A903" s="118">
        <v>44746</v>
      </c>
      <c r="B903" s="119">
        <v>22914.2</v>
      </c>
    </row>
    <row r="904" spans="1:2" x14ac:dyDescent="0.35">
      <c r="A904" s="118">
        <v>44743</v>
      </c>
      <c r="B904" s="119">
        <v>22788.18</v>
      </c>
    </row>
    <row r="905" spans="1:2" x14ac:dyDescent="0.35">
      <c r="A905" s="118">
        <v>44742</v>
      </c>
      <c r="B905" s="119">
        <v>22828.93</v>
      </c>
    </row>
    <row r="906" spans="1:2" x14ac:dyDescent="0.35">
      <c r="A906" s="118">
        <v>44741</v>
      </c>
      <c r="B906" s="119">
        <v>22848.35</v>
      </c>
    </row>
    <row r="907" spans="1:2" x14ac:dyDescent="0.35">
      <c r="A907" s="118">
        <v>44740</v>
      </c>
      <c r="B907" s="119">
        <v>22922.240000000002</v>
      </c>
    </row>
    <row r="908" spans="1:2" x14ac:dyDescent="0.35">
      <c r="A908" s="118">
        <v>44739</v>
      </c>
      <c r="B908" s="119">
        <v>22896.02</v>
      </c>
    </row>
    <row r="909" spans="1:2" x14ac:dyDescent="0.35">
      <c r="A909" s="118">
        <v>44736</v>
      </c>
      <c r="B909" s="119">
        <v>22703.95</v>
      </c>
    </row>
    <row r="910" spans="1:2" x14ac:dyDescent="0.35">
      <c r="A910" s="118">
        <v>44735</v>
      </c>
      <c r="B910" s="119">
        <v>22497.71</v>
      </c>
    </row>
    <row r="911" spans="1:2" x14ac:dyDescent="0.35">
      <c r="A911" s="118">
        <v>44734</v>
      </c>
      <c r="B911" s="119">
        <v>22290.46</v>
      </c>
    </row>
    <row r="912" spans="1:2" x14ac:dyDescent="0.35">
      <c r="A912" s="118">
        <v>44733</v>
      </c>
      <c r="B912" s="119">
        <v>22616.52</v>
      </c>
    </row>
    <row r="913" spans="1:2" x14ac:dyDescent="0.35">
      <c r="A913" s="118">
        <v>44732</v>
      </c>
      <c r="B913" s="119">
        <v>22199.11</v>
      </c>
    </row>
    <row r="914" spans="1:2" x14ac:dyDescent="0.35">
      <c r="A914" s="118">
        <v>44729</v>
      </c>
      <c r="B914" s="119">
        <v>22114.97</v>
      </c>
    </row>
    <row r="915" spans="1:2" x14ac:dyDescent="0.35">
      <c r="A915" s="118">
        <v>44728</v>
      </c>
      <c r="B915" s="119">
        <v>22211.98</v>
      </c>
    </row>
    <row r="916" spans="1:2" x14ac:dyDescent="0.35">
      <c r="A916" s="118">
        <v>44727</v>
      </c>
      <c r="B916" s="119">
        <v>22691.46</v>
      </c>
    </row>
    <row r="917" spans="1:2" x14ac:dyDescent="0.35">
      <c r="A917" s="118">
        <v>44726</v>
      </c>
      <c r="B917" s="119">
        <v>22729.97</v>
      </c>
    </row>
    <row r="918" spans="1:2" x14ac:dyDescent="0.35">
      <c r="A918" s="118">
        <v>44725</v>
      </c>
      <c r="B918" s="119">
        <v>22791.119999999999</v>
      </c>
    </row>
    <row r="919" spans="1:2" x14ac:dyDescent="0.35">
      <c r="A919" s="118">
        <v>44722</v>
      </c>
      <c r="B919" s="119">
        <v>23408.59</v>
      </c>
    </row>
    <row r="920" spans="1:2" x14ac:dyDescent="0.35">
      <c r="A920" s="118">
        <v>44721</v>
      </c>
      <c r="B920" s="119">
        <v>23807.84</v>
      </c>
    </row>
    <row r="921" spans="1:2" x14ac:dyDescent="0.35">
      <c r="A921" s="118">
        <v>44720</v>
      </c>
      <c r="B921" s="119">
        <v>23628.32</v>
      </c>
    </row>
    <row r="922" spans="1:2" x14ac:dyDescent="0.35">
      <c r="A922" s="118">
        <v>44719</v>
      </c>
      <c r="B922" s="119">
        <v>23715.1</v>
      </c>
    </row>
    <row r="923" spans="1:2" x14ac:dyDescent="0.35">
      <c r="A923" s="118">
        <v>44718</v>
      </c>
      <c r="B923" s="119">
        <v>23936.44</v>
      </c>
    </row>
    <row r="924" spans="1:2" x14ac:dyDescent="0.35">
      <c r="A924" s="118">
        <v>44715</v>
      </c>
      <c r="B924" s="119">
        <v>23957.71</v>
      </c>
    </row>
    <row r="925" spans="1:2" x14ac:dyDescent="0.35">
      <c r="A925" s="118">
        <v>44714</v>
      </c>
      <c r="B925" s="119">
        <v>24020.89</v>
      </c>
    </row>
    <row r="926" spans="1:2" x14ac:dyDescent="0.35">
      <c r="A926" s="118">
        <v>44713</v>
      </c>
      <c r="B926" s="119">
        <v>23868.85</v>
      </c>
    </row>
    <row r="927" spans="1:2" x14ac:dyDescent="0.35">
      <c r="A927" s="118">
        <v>44712</v>
      </c>
      <c r="B927" s="119">
        <v>23958.1</v>
      </c>
    </row>
    <row r="928" spans="1:2" x14ac:dyDescent="0.35">
      <c r="A928" s="118">
        <v>44711</v>
      </c>
      <c r="B928" s="119">
        <v>24031.25</v>
      </c>
    </row>
    <row r="929" spans="1:2" x14ac:dyDescent="0.35">
      <c r="A929" s="118">
        <v>44708</v>
      </c>
      <c r="B929" s="119">
        <v>23585.61</v>
      </c>
    </row>
    <row r="930" spans="1:2" x14ac:dyDescent="0.35">
      <c r="A930" s="118">
        <v>44707</v>
      </c>
      <c r="B930" s="119">
        <v>23322.66</v>
      </c>
    </row>
    <row r="931" spans="1:2" x14ac:dyDescent="0.35">
      <c r="A931" s="118">
        <v>44706</v>
      </c>
      <c r="B931" s="119">
        <v>23096.63</v>
      </c>
    </row>
    <row r="932" spans="1:2" x14ac:dyDescent="0.35">
      <c r="A932" s="118">
        <v>44705</v>
      </c>
      <c r="B932" s="119">
        <v>23223.25</v>
      </c>
    </row>
    <row r="933" spans="1:2" x14ac:dyDescent="0.35">
      <c r="A933" s="118">
        <v>44704</v>
      </c>
      <c r="B933" s="119">
        <v>23352.22</v>
      </c>
    </row>
    <row r="934" spans="1:2" x14ac:dyDescent="0.35">
      <c r="A934" s="118">
        <v>44701</v>
      </c>
      <c r="B934" s="119">
        <v>23426.36</v>
      </c>
    </row>
    <row r="935" spans="1:2" x14ac:dyDescent="0.35">
      <c r="A935" s="118">
        <v>44700</v>
      </c>
      <c r="B935" s="119">
        <v>22768.49</v>
      </c>
    </row>
    <row r="936" spans="1:2" x14ac:dyDescent="0.35">
      <c r="A936" s="118">
        <v>44699</v>
      </c>
      <c r="B936" s="119">
        <v>23389.07</v>
      </c>
    </row>
    <row r="937" spans="1:2" x14ac:dyDescent="0.35">
      <c r="A937" s="118">
        <v>44698</v>
      </c>
      <c r="B937" s="119">
        <v>23416.46</v>
      </c>
    </row>
    <row r="938" spans="1:2" x14ac:dyDescent="0.35">
      <c r="A938" s="118">
        <v>44697</v>
      </c>
      <c r="B938" s="119">
        <v>22815.88</v>
      </c>
    </row>
    <row r="939" spans="1:2" x14ac:dyDescent="0.35">
      <c r="A939" s="118">
        <v>44694</v>
      </c>
      <c r="B939" s="119">
        <v>22729.279999999999</v>
      </c>
    </row>
    <row r="940" spans="1:2" x14ac:dyDescent="0.35">
      <c r="A940" s="118">
        <v>44693</v>
      </c>
      <c r="B940" s="119">
        <v>22766.52</v>
      </c>
    </row>
    <row r="941" spans="1:2" x14ac:dyDescent="0.35">
      <c r="A941" s="118">
        <v>44692</v>
      </c>
      <c r="B941" s="119">
        <v>23260.85</v>
      </c>
    </row>
    <row r="942" spans="1:2" x14ac:dyDescent="0.35">
      <c r="A942" s="118">
        <v>44691</v>
      </c>
      <c r="B942" s="119">
        <v>23365.81</v>
      </c>
    </row>
    <row r="943" spans="1:2" x14ac:dyDescent="0.35">
      <c r="A943" s="118">
        <v>44690</v>
      </c>
      <c r="B943" s="119">
        <v>23454.71</v>
      </c>
    </row>
    <row r="944" spans="1:2" x14ac:dyDescent="0.35">
      <c r="A944" s="118">
        <v>44687</v>
      </c>
      <c r="B944" s="119">
        <v>23612.16</v>
      </c>
    </row>
    <row r="945" spans="1:2" x14ac:dyDescent="0.35">
      <c r="A945" s="118">
        <v>44686</v>
      </c>
      <c r="B945" s="119">
        <v>24002.58</v>
      </c>
    </row>
    <row r="946" spans="1:2" x14ac:dyDescent="0.35">
      <c r="A946" s="118">
        <v>44685</v>
      </c>
      <c r="B946" s="119">
        <v>23995.35</v>
      </c>
    </row>
    <row r="947" spans="1:2" x14ac:dyDescent="0.35">
      <c r="A947" s="118">
        <v>44683</v>
      </c>
      <c r="B947" s="119">
        <v>24558.61</v>
      </c>
    </row>
    <row r="948" spans="1:2" x14ac:dyDescent="0.35">
      <c r="A948" s="118">
        <v>44680</v>
      </c>
      <c r="B948" s="119">
        <v>24606.78</v>
      </c>
    </row>
    <row r="949" spans="1:2" x14ac:dyDescent="0.35">
      <c r="A949" s="118">
        <v>44679</v>
      </c>
      <c r="B949" s="119">
        <v>24811.78</v>
      </c>
    </row>
    <row r="950" spans="1:2" x14ac:dyDescent="0.35">
      <c r="A950" s="118">
        <v>44678</v>
      </c>
      <c r="B950" s="119">
        <v>24508.3</v>
      </c>
    </row>
    <row r="951" spans="1:2" x14ac:dyDescent="0.35">
      <c r="A951" s="118">
        <v>44677</v>
      </c>
      <c r="B951" s="119">
        <v>24741.88</v>
      </c>
    </row>
    <row r="952" spans="1:2" x14ac:dyDescent="0.35">
      <c r="A952" s="118">
        <v>44676</v>
      </c>
      <c r="B952" s="119">
        <v>24386.78</v>
      </c>
    </row>
    <row r="953" spans="1:2" x14ac:dyDescent="0.35">
      <c r="A953" s="118">
        <v>44673</v>
      </c>
      <c r="B953" s="119">
        <v>24700.36</v>
      </c>
    </row>
    <row r="954" spans="1:2" x14ac:dyDescent="0.35">
      <c r="A954" s="118">
        <v>44672</v>
      </c>
      <c r="B954" s="119">
        <v>25017.73</v>
      </c>
    </row>
    <row r="955" spans="1:2" x14ac:dyDescent="0.35">
      <c r="A955" s="118">
        <v>44671</v>
      </c>
      <c r="B955" s="119">
        <v>24648.400000000001</v>
      </c>
    </row>
    <row r="956" spans="1:2" x14ac:dyDescent="0.35">
      <c r="A956" s="118">
        <v>44670</v>
      </c>
      <c r="B956" s="119">
        <v>24392.54</v>
      </c>
    </row>
    <row r="957" spans="1:2" x14ac:dyDescent="0.35">
      <c r="A957" s="118">
        <v>44669</v>
      </c>
      <c r="B957" s="119">
        <v>24701.75</v>
      </c>
    </row>
    <row r="958" spans="1:2" x14ac:dyDescent="0.35">
      <c r="A958" s="118">
        <v>44664</v>
      </c>
      <c r="B958" s="119">
        <v>25136.13</v>
      </c>
    </row>
    <row r="959" spans="1:2" x14ac:dyDescent="0.35">
      <c r="A959" s="118">
        <v>44663</v>
      </c>
      <c r="B959" s="119">
        <v>25214.76</v>
      </c>
    </row>
    <row r="960" spans="1:2" x14ac:dyDescent="0.35">
      <c r="A960" s="118">
        <v>44662</v>
      </c>
      <c r="B960" s="119">
        <v>25422.81</v>
      </c>
    </row>
    <row r="961" spans="1:2" x14ac:dyDescent="0.35">
      <c r="A961" s="118">
        <v>44659</v>
      </c>
      <c r="B961" s="119">
        <v>25580.15</v>
      </c>
    </row>
    <row r="962" spans="1:2" x14ac:dyDescent="0.35">
      <c r="A962" s="118">
        <v>44658</v>
      </c>
      <c r="B962" s="119">
        <v>25371.88</v>
      </c>
    </row>
    <row r="963" spans="1:2" x14ac:dyDescent="0.35">
      <c r="A963" s="118">
        <v>44657</v>
      </c>
      <c r="B963" s="119">
        <v>25613.71</v>
      </c>
    </row>
    <row r="964" spans="1:2" x14ac:dyDescent="0.35">
      <c r="A964" s="118">
        <v>44656</v>
      </c>
      <c r="B964" s="119">
        <v>25829.11</v>
      </c>
    </row>
    <row r="965" spans="1:2" x14ac:dyDescent="0.35">
      <c r="A965" s="118">
        <v>44655</v>
      </c>
      <c r="B965" s="119">
        <v>25964.720000000001</v>
      </c>
    </row>
    <row r="966" spans="1:2" x14ac:dyDescent="0.35">
      <c r="A966" s="118">
        <v>44652</v>
      </c>
      <c r="B966" s="119">
        <v>25413.94</v>
      </c>
    </row>
    <row r="967" spans="1:2" x14ac:dyDescent="0.35">
      <c r="A967" s="118">
        <v>44651</v>
      </c>
      <c r="B967" s="119">
        <v>25118.14</v>
      </c>
    </row>
    <row r="968" spans="1:2" x14ac:dyDescent="0.35">
      <c r="A968" s="118">
        <v>44650</v>
      </c>
      <c r="B968" s="119">
        <v>25166.31</v>
      </c>
    </row>
    <row r="969" spans="1:2" x14ac:dyDescent="0.35">
      <c r="A969" s="118">
        <v>44649</v>
      </c>
      <c r="B969" s="119">
        <v>24917.57</v>
      </c>
    </row>
    <row r="970" spans="1:2" x14ac:dyDescent="0.35">
      <c r="A970" s="118">
        <v>44648</v>
      </c>
      <c r="B970" s="119">
        <v>24768.69</v>
      </c>
    </row>
    <row r="971" spans="1:2" x14ac:dyDescent="0.35">
      <c r="A971" s="118">
        <v>44645</v>
      </c>
      <c r="B971" s="119">
        <v>24669.45</v>
      </c>
    </row>
    <row r="972" spans="1:2" x14ac:dyDescent="0.35">
      <c r="A972" s="118">
        <v>44644</v>
      </c>
      <c r="B972" s="119">
        <v>24769.75</v>
      </c>
    </row>
    <row r="973" spans="1:2" x14ac:dyDescent="0.35">
      <c r="A973" s="118">
        <v>44643</v>
      </c>
      <c r="B973" s="119">
        <v>24802.74</v>
      </c>
    </row>
    <row r="974" spans="1:2" x14ac:dyDescent="0.35">
      <c r="A974" s="118">
        <v>44642</v>
      </c>
      <c r="B974" s="119">
        <v>24903.14</v>
      </c>
    </row>
    <row r="975" spans="1:2" x14ac:dyDescent="0.35">
      <c r="A975" s="118">
        <v>44641</v>
      </c>
      <c r="B975" s="119">
        <v>24618.52</v>
      </c>
    </row>
    <row r="976" spans="1:2" x14ac:dyDescent="0.35">
      <c r="A976" s="118">
        <v>44637</v>
      </c>
      <c r="B976" s="119">
        <v>24862.27</v>
      </c>
    </row>
    <row r="977" spans="1:2" x14ac:dyDescent="0.35">
      <c r="A977" s="118">
        <v>44636</v>
      </c>
      <c r="B977" s="119">
        <v>24414</v>
      </c>
    </row>
    <row r="978" spans="1:2" x14ac:dyDescent="0.35">
      <c r="A978" s="118">
        <v>44635</v>
      </c>
      <c r="B978" s="119">
        <v>23964.720000000001</v>
      </c>
    </row>
    <row r="979" spans="1:2" x14ac:dyDescent="0.35">
      <c r="A979" s="118">
        <v>44634</v>
      </c>
      <c r="B979" s="119">
        <v>24264.29</v>
      </c>
    </row>
    <row r="980" spans="1:2" x14ac:dyDescent="0.35">
      <c r="A980" s="118">
        <v>44631</v>
      </c>
      <c r="B980" s="119">
        <v>23917.96</v>
      </c>
    </row>
    <row r="981" spans="1:2" x14ac:dyDescent="0.35">
      <c r="A981" s="118">
        <v>44630</v>
      </c>
      <c r="B981" s="119">
        <v>23866.77</v>
      </c>
    </row>
    <row r="982" spans="1:2" x14ac:dyDescent="0.35">
      <c r="A982" s="118">
        <v>44629</v>
      </c>
      <c r="B982" s="119">
        <v>23507.87</v>
      </c>
    </row>
    <row r="983" spans="1:2" x14ac:dyDescent="0.35">
      <c r="A983" s="118">
        <v>44628</v>
      </c>
      <c r="B983" s="119">
        <v>23030.560000000001</v>
      </c>
    </row>
    <row r="984" spans="1:2" x14ac:dyDescent="0.35">
      <c r="A984" s="118">
        <v>44627</v>
      </c>
      <c r="B984" s="119">
        <v>22814.41</v>
      </c>
    </row>
    <row r="985" spans="1:2" x14ac:dyDescent="0.35">
      <c r="A985" s="118">
        <v>44624</v>
      </c>
      <c r="B985" s="119">
        <v>23364.07</v>
      </c>
    </row>
    <row r="986" spans="1:2" x14ac:dyDescent="0.35">
      <c r="A986" s="118">
        <v>44623</v>
      </c>
      <c r="B986" s="119">
        <v>23727.54</v>
      </c>
    </row>
    <row r="987" spans="1:2" x14ac:dyDescent="0.35">
      <c r="A987" s="118">
        <v>44622</v>
      </c>
      <c r="B987" s="119">
        <v>23882.720000000001</v>
      </c>
    </row>
    <row r="988" spans="1:2" x14ac:dyDescent="0.35">
      <c r="A988" s="118">
        <v>44620</v>
      </c>
      <c r="B988" s="119">
        <v>24153.01</v>
      </c>
    </row>
    <row r="989" spans="1:2" x14ac:dyDescent="0.35">
      <c r="A989" s="118">
        <v>44617</v>
      </c>
      <c r="B989" s="119">
        <v>23958.1</v>
      </c>
    </row>
    <row r="990" spans="1:2" x14ac:dyDescent="0.35">
      <c r="A990" s="118">
        <v>44616</v>
      </c>
      <c r="B990" s="119">
        <v>23367.85</v>
      </c>
    </row>
    <row r="991" spans="1:2" x14ac:dyDescent="0.35">
      <c r="A991" s="118">
        <v>44615</v>
      </c>
      <c r="B991" s="119">
        <v>24540.41</v>
      </c>
    </row>
    <row r="992" spans="1:2" x14ac:dyDescent="0.35">
      <c r="A992" s="118">
        <v>44614</v>
      </c>
      <c r="B992" s="119">
        <v>24582.05</v>
      </c>
    </row>
    <row r="993" spans="1:2" x14ac:dyDescent="0.35">
      <c r="A993" s="118">
        <v>44613</v>
      </c>
      <c r="B993" s="119">
        <v>24746.59</v>
      </c>
    </row>
    <row r="994" spans="1:2" x14ac:dyDescent="0.35">
      <c r="A994" s="118">
        <v>44610</v>
      </c>
      <c r="B994" s="119">
        <v>24838.68</v>
      </c>
    </row>
    <row r="995" spans="1:2" x14ac:dyDescent="0.35">
      <c r="A995" s="118">
        <v>44609</v>
      </c>
      <c r="B995" s="119">
        <v>24879.32</v>
      </c>
    </row>
    <row r="996" spans="1:2" x14ac:dyDescent="0.35">
      <c r="A996" s="118">
        <v>44608</v>
      </c>
      <c r="B996" s="119">
        <v>24904.67</v>
      </c>
    </row>
    <row r="997" spans="1:2" x14ac:dyDescent="0.35">
      <c r="A997" s="118">
        <v>44607</v>
      </c>
      <c r="B997" s="119">
        <v>24941.93</v>
      </c>
    </row>
    <row r="998" spans="1:2" x14ac:dyDescent="0.35">
      <c r="A998" s="118">
        <v>44606</v>
      </c>
      <c r="B998" s="119">
        <v>24209.38</v>
      </c>
    </row>
    <row r="999" spans="1:2" x14ac:dyDescent="0.35">
      <c r="A999" s="118">
        <v>44603</v>
      </c>
      <c r="B999" s="119">
        <v>24958.45</v>
      </c>
    </row>
    <row r="1000" spans="1:2" x14ac:dyDescent="0.35">
      <c r="A1000" s="118">
        <v>44602</v>
      </c>
      <c r="B1000" s="119">
        <v>25290.42</v>
      </c>
    </row>
    <row r="1001" spans="1:2" x14ac:dyDescent="0.35">
      <c r="A1001" s="118">
        <v>44601</v>
      </c>
      <c r="B1001" s="119">
        <v>25084.6</v>
      </c>
    </row>
    <row r="1002" spans="1:2" x14ac:dyDescent="0.35">
      <c r="A1002" s="118">
        <v>44600</v>
      </c>
      <c r="B1002" s="119">
        <v>24795.759999999998</v>
      </c>
    </row>
    <row r="1003" spans="1:2" x14ac:dyDescent="0.35">
      <c r="A1003" s="118">
        <v>44599</v>
      </c>
      <c r="B1003" s="119">
        <v>24719.45</v>
      </c>
    </row>
    <row r="1004" spans="1:2" x14ac:dyDescent="0.35">
      <c r="A1004" s="118">
        <v>44596</v>
      </c>
      <c r="B1004" s="119">
        <v>25154.14</v>
      </c>
    </row>
    <row r="1005" spans="1:2" x14ac:dyDescent="0.35">
      <c r="A1005" s="118">
        <v>44595</v>
      </c>
      <c r="B1005" s="119">
        <v>25217.200000000001</v>
      </c>
    </row>
    <row r="1006" spans="1:2" x14ac:dyDescent="0.35">
      <c r="A1006" s="118">
        <v>44594</v>
      </c>
      <c r="B1006" s="119">
        <v>25526.55</v>
      </c>
    </row>
    <row r="1007" spans="1:2" x14ac:dyDescent="0.35">
      <c r="A1007" s="118">
        <v>44593</v>
      </c>
      <c r="B1007" s="119">
        <v>25234.89</v>
      </c>
    </row>
    <row r="1008" spans="1:2" x14ac:dyDescent="0.35">
      <c r="A1008" s="118">
        <v>44592</v>
      </c>
      <c r="B1008" s="119">
        <v>24894.62</v>
      </c>
    </row>
    <row r="1009" spans="1:2" x14ac:dyDescent="0.35">
      <c r="A1009" s="118">
        <v>44589</v>
      </c>
      <c r="B1009" s="119">
        <v>24553.040000000001</v>
      </c>
    </row>
    <row r="1010" spans="1:2" x14ac:dyDescent="0.35">
      <c r="A1010" s="118">
        <v>44588</v>
      </c>
      <c r="B1010" s="119">
        <v>24564.81</v>
      </c>
    </row>
    <row r="1011" spans="1:2" x14ac:dyDescent="0.35">
      <c r="A1011" s="118">
        <v>44586</v>
      </c>
      <c r="B1011" s="119">
        <v>24805.75</v>
      </c>
    </row>
    <row r="1012" spans="1:2" x14ac:dyDescent="0.35">
      <c r="A1012" s="118">
        <v>44585</v>
      </c>
      <c r="B1012" s="119">
        <v>24620.720000000001</v>
      </c>
    </row>
    <row r="1013" spans="1:2" x14ac:dyDescent="0.35">
      <c r="A1013" s="118">
        <v>44582</v>
      </c>
      <c r="B1013" s="119">
        <v>25292.720000000001</v>
      </c>
    </row>
    <row r="1014" spans="1:2" x14ac:dyDescent="0.35">
      <c r="A1014" s="118">
        <v>44581</v>
      </c>
      <c r="B1014" s="119">
        <v>25492.99</v>
      </c>
    </row>
    <row r="1015" spans="1:2" x14ac:dyDescent="0.35">
      <c r="A1015" s="118">
        <v>44580</v>
      </c>
      <c r="B1015" s="119">
        <v>25749.81</v>
      </c>
    </row>
    <row r="1016" spans="1:2" x14ac:dyDescent="0.35">
      <c r="A1016" s="118">
        <v>44579</v>
      </c>
      <c r="B1016" s="119">
        <v>25998.14</v>
      </c>
    </row>
    <row r="1017" spans="1:2" x14ac:dyDescent="0.35">
      <c r="A1017" s="118">
        <v>44578</v>
      </c>
      <c r="B1017" s="119">
        <v>26278.07</v>
      </c>
    </row>
    <row r="1018" spans="1:2" x14ac:dyDescent="0.35">
      <c r="A1018" s="118">
        <v>44575</v>
      </c>
      <c r="B1018" s="119">
        <v>26202.97</v>
      </c>
    </row>
    <row r="1019" spans="1:2" x14ac:dyDescent="0.35">
      <c r="A1019" s="118">
        <v>44574</v>
      </c>
      <c r="B1019" s="119">
        <v>26205.87</v>
      </c>
    </row>
    <row r="1020" spans="1:2" x14ac:dyDescent="0.35">
      <c r="A1020" s="118">
        <v>44573</v>
      </c>
      <c r="B1020" s="119">
        <v>26140.68</v>
      </c>
    </row>
    <row r="1021" spans="1:2" x14ac:dyDescent="0.35">
      <c r="A1021" s="118">
        <v>44572</v>
      </c>
      <c r="B1021" s="119">
        <v>25915.89</v>
      </c>
    </row>
    <row r="1022" spans="1:2" x14ac:dyDescent="0.35">
      <c r="A1022" s="118">
        <v>44571</v>
      </c>
      <c r="B1022" s="119">
        <v>25840.62</v>
      </c>
    </row>
    <row r="1023" spans="1:2" x14ac:dyDescent="0.35">
      <c r="A1023" s="118">
        <v>44568</v>
      </c>
      <c r="B1023" s="119">
        <v>25567.06</v>
      </c>
    </row>
    <row r="1024" spans="1:2" x14ac:dyDescent="0.35">
      <c r="A1024" s="118">
        <v>44567</v>
      </c>
      <c r="B1024" s="119">
        <v>25471.18</v>
      </c>
    </row>
    <row r="1025" spans="1:2" x14ac:dyDescent="0.35">
      <c r="A1025" s="118">
        <v>44566</v>
      </c>
      <c r="B1025" s="119">
        <v>25728.58</v>
      </c>
    </row>
    <row r="1026" spans="1:2" x14ac:dyDescent="0.35">
      <c r="A1026" s="118">
        <v>44565</v>
      </c>
      <c r="B1026" s="119">
        <v>25556.34</v>
      </c>
    </row>
    <row r="1027" spans="1:2" x14ac:dyDescent="0.35">
      <c r="A1027" s="118">
        <v>44564</v>
      </c>
      <c r="B1027" s="119">
        <v>25298.63</v>
      </c>
    </row>
    <row r="1028" spans="1:2" x14ac:dyDescent="0.35">
      <c r="A1028" s="118">
        <v>44561</v>
      </c>
      <c r="B1028" s="119">
        <v>24908.71</v>
      </c>
    </row>
    <row r="1029" spans="1:2" x14ac:dyDescent="0.35">
      <c r="A1029" s="118">
        <v>44560</v>
      </c>
      <c r="B1029" s="119">
        <v>24693.25</v>
      </c>
    </row>
    <row r="1030" spans="1:2" x14ac:dyDescent="0.35">
      <c r="A1030" s="118">
        <v>44559</v>
      </c>
      <c r="B1030" s="119">
        <v>24707.1</v>
      </c>
    </row>
    <row r="1031" spans="1:2" x14ac:dyDescent="0.35">
      <c r="A1031" s="118">
        <v>44558</v>
      </c>
      <c r="B1031" s="119">
        <v>24735.32</v>
      </c>
    </row>
    <row r="1032" spans="1:2" x14ac:dyDescent="0.35">
      <c r="A1032" s="118">
        <v>44557</v>
      </c>
      <c r="B1032" s="119">
        <v>24524.36</v>
      </c>
    </row>
    <row r="1033" spans="1:2" x14ac:dyDescent="0.35">
      <c r="A1033" s="118">
        <v>44554</v>
      </c>
      <c r="B1033" s="119">
        <v>24405.96</v>
      </c>
    </row>
    <row r="1034" spans="1:2" x14ac:dyDescent="0.35">
      <c r="A1034" s="118">
        <v>44553</v>
      </c>
      <c r="B1034" s="119">
        <v>24504.75</v>
      </c>
    </row>
    <row r="1035" spans="1:2" x14ac:dyDescent="0.35">
      <c r="A1035" s="118">
        <v>44552</v>
      </c>
      <c r="B1035" s="119">
        <v>24336.62</v>
      </c>
    </row>
    <row r="1036" spans="1:2" x14ac:dyDescent="0.35">
      <c r="A1036" s="118">
        <v>44551</v>
      </c>
      <c r="B1036" s="119">
        <v>24063.78</v>
      </c>
    </row>
    <row r="1037" spans="1:2" x14ac:dyDescent="0.35">
      <c r="A1037" s="118">
        <v>44550</v>
      </c>
      <c r="B1037" s="119">
        <v>23839.01</v>
      </c>
    </row>
    <row r="1038" spans="1:2" x14ac:dyDescent="0.35">
      <c r="A1038" s="118">
        <v>44547</v>
      </c>
      <c r="B1038" s="119">
        <v>24371.37</v>
      </c>
    </row>
    <row r="1039" spans="1:2" x14ac:dyDescent="0.35">
      <c r="A1039" s="118">
        <v>44546</v>
      </c>
      <c r="B1039" s="119">
        <v>24749.01</v>
      </c>
    </row>
    <row r="1040" spans="1:2" x14ac:dyDescent="0.35">
      <c r="A1040" s="118">
        <v>44545</v>
      </c>
      <c r="B1040" s="119">
        <v>24710.3</v>
      </c>
    </row>
    <row r="1041" spans="1:2" x14ac:dyDescent="0.35">
      <c r="A1041" s="118">
        <v>44544</v>
      </c>
      <c r="B1041" s="119">
        <v>24858.79</v>
      </c>
    </row>
    <row r="1042" spans="1:2" x14ac:dyDescent="0.35">
      <c r="A1042" s="118">
        <v>44543</v>
      </c>
      <c r="B1042" s="119">
        <v>24921.02</v>
      </c>
    </row>
    <row r="1043" spans="1:2" x14ac:dyDescent="0.35">
      <c r="A1043" s="118">
        <v>44540</v>
      </c>
      <c r="B1043" s="119">
        <v>25126.240000000002</v>
      </c>
    </row>
    <row r="1044" spans="1:2" x14ac:dyDescent="0.35">
      <c r="A1044" s="118">
        <v>44539</v>
      </c>
      <c r="B1044" s="119">
        <v>25134.23</v>
      </c>
    </row>
    <row r="1045" spans="1:2" x14ac:dyDescent="0.35">
      <c r="A1045" s="118">
        <v>44538</v>
      </c>
      <c r="B1045" s="119">
        <v>25066.62</v>
      </c>
    </row>
    <row r="1046" spans="1:2" x14ac:dyDescent="0.35">
      <c r="A1046" s="118">
        <v>44537</v>
      </c>
      <c r="B1046" s="119">
        <v>24646.18</v>
      </c>
    </row>
    <row r="1047" spans="1:2" x14ac:dyDescent="0.35">
      <c r="A1047" s="118">
        <v>44536</v>
      </c>
      <c r="B1047" s="119">
        <v>24266.71</v>
      </c>
    </row>
    <row r="1048" spans="1:2" x14ac:dyDescent="0.35">
      <c r="A1048" s="118">
        <v>44533</v>
      </c>
      <c r="B1048" s="119">
        <v>24674.83</v>
      </c>
    </row>
    <row r="1049" spans="1:2" x14ac:dyDescent="0.35">
      <c r="A1049" s="118">
        <v>44532</v>
      </c>
      <c r="B1049" s="119">
        <v>24968.91</v>
      </c>
    </row>
    <row r="1050" spans="1:2" x14ac:dyDescent="0.35">
      <c r="A1050" s="118">
        <v>44531</v>
      </c>
      <c r="B1050" s="119">
        <v>24632.06</v>
      </c>
    </row>
    <row r="1051" spans="1:2" x14ac:dyDescent="0.35">
      <c r="A1051" s="118">
        <v>44530</v>
      </c>
      <c r="B1051" s="119">
        <v>24368.53</v>
      </c>
    </row>
    <row r="1052" spans="1:2" x14ac:dyDescent="0.35">
      <c r="A1052" s="118">
        <v>44529</v>
      </c>
      <c r="B1052" s="119">
        <v>24469.99</v>
      </c>
    </row>
    <row r="1053" spans="1:2" x14ac:dyDescent="0.35">
      <c r="A1053" s="118">
        <v>44526</v>
      </c>
      <c r="B1053" s="119">
        <v>24430.53</v>
      </c>
    </row>
    <row r="1054" spans="1:2" x14ac:dyDescent="0.35">
      <c r="A1054" s="118">
        <v>44525</v>
      </c>
      <c r="B1054" s="119">
        <v>25162.07</v>
      </c>
    </row>
    <row r="1055" spans="1:2" x14ac:dyDescent="0.35">
      <c r="A1055" s="118">
        <v>44524</v>
      </c>
      <c r="B1055" s="119">
        <v>24988.18</v>
      </c>
    </row>
    <row r="1056" spans="1:2" x14ac:dyDescent="0.35">
      <c r="A1056" s="118">
        <v>44523</v>
      </c>
      <c r="B1056" s="119">
        <v>25114.82</v>
      </c>
    </row>
    <row r="1057" spans="1:2" x14ac:dyDescent="0.35">
      <c r="A1057" s="118">
        <v>44522</v>
      </c>
      <c r="B1057" s="119">
        <v>24990.27</v>
      </c>
    </row>
    <row r="1058" spans="1:2" x14ac:dyDescent="0.35">
      <c r="A1058" s="118">
        <v>44518</v>
      </c>
      <c r="B1058" s="119">
        <v>25483.23</v>
      </c>
    </row>
    <row r="1059" spans="1:2" x14ac:dyDescent="0.35">
      <c r="A1059" s="118">
        <v>44517</v>
      </c>
      <c r="B1059" s="119">
        <v>25675.200000000001</v>
      </c>
    </row>
    <row r="1060" spans="1:2" x14ac:dyDescent="0.35">
      <c r="A1060" s="118">
        <v>44516</v>
      </c>
      <c r="B1060" s="119">
        <v>25819.49</v>
      </c>
    </row>
    <row r="1061" spans="1:2" x14ac:dyDescent="0.35">
      <c r="A1061" s="118">
        <v>44515</v>
      </c>
      <c r="B1061" s="119">
        <v>25977.61</v>
      </c>
    </row>
    <row r="1062" spans="1:2" x14ac:dyDescent="0.35">
      <c r="A1062" s="118">
        <v>44512</v>
      </c>
      <c r="B1062" s="119">
        <v>25968.02</v>
      </c>
    </row>
    <row r="1063" spans="1:2" x14ac:dyDescent="0.35">
      <c r="A1063" s="118">
        <v>44511</v>
      </c>
      <c r="B1063" s="119">
        <v>25639.32</v>
      </c>
    </row>
    <row r="1064" spans="1:2" x14ac:dyDescent="0.35">
      <c r="A1064" s="118">
        <v>44510</v>
      </c>
      <c r="B1064" s="119">
        <v>25839.47</v>
      </c>
    </row>
    <row r="1065" spans="1:2" x14ac:dyDescent="0.35">
      <c r="A1065" s="118">
        <v>44509</v>
      </c>
      <c r="B1065" s="119">
        <v>25878.28</v>
      </c>
    </row>
    <row r="1066" spans="1:2" x14ac:dyDescent="0.35">
      <c r="A1066" s="118">
        <v>44508</v>
      </c>
      <c r="B1066" s="119">
        <v>25913.09</v>
      </c>
    </row>
    <row r="1067" spans="1:2" x14ac:dyDescent="0.35">
      <c r="A1067" s="118">
        <v>44504</v>
      </c>
      <c r="B1067" s="119">
        <v>25695.5</v>
      </c>
    </row>
    <row r="1068" spans="1:2" x14ac:dyDescent="0.35">
      <c r="A1068" s="118">
        <v>44503</v>
      </c>
      <c r="B1068" s="119">
        <v>25569.86</v>
      </c>
    </row>
    <row r="1069" spans="1:2" x14ac:dyDescent="0.35">
      <c r="A1069" s="118">
        <v>44502</v>
      </c>
      <c r="B1069" s="119">
        <v>25655.51</v>
      </c>
    </row>
    <row r="1070" spans="1:2" x14ac:dyDescent="0.35">
      <c r="A1070" s="118">
        <v>44501</v>
      </c>
      <c r="B1070" s="119">
        <v>25710.799999999999</v>
      </c>
    </row>
    <row r="1071" spans="1:2" x14ac:dyDescent="0.35">
      <c r="A1071" s="118">
        <v>44498</v>
      </c>
      <c r="B1071" s="119">
        <v>25340.83</v>
      </c>
    </row>
    <row r="1072" spans="1:2" x14ac:dyDescent="0.35">
      <c r="A1072" s="118">
        <v>44497</v>
      </c>
      <c r="B1072" s="119">
        <v>25606.99</v>
      </c>
    </row>
    <row r="1073" spans="1:2" x14ac:dyDescent="0.35">
      <c r="A1073" s="118">
        <v>44496</v>
      </c>
      <c r="B1073" s="119">
        <v>26113.62</v>
      </c>
    </row>
    <row r="1074" spans="1:2" x14ac:dyDescent="0.35">
      <c r="A1074" s="118">
        <v>44495</v>
      </c>
      <c r="B1074" s="119">
        <v>26196.05</v>
      </c>
    </row>
    <row r="1075" spans="1:2" x14ac:dyDescent="0.35">
      <c r="A1075" s="118">
        <v>44494</v>
      </c>
      <c r="B1075" s="119">
        <v>25967.040000000001</v>
      </c>
    </row>
    <row r="1076" spans="1:2" x14ac:dyDescent="0.35">
      <c r="A1076" s="118">
        <v>44491</v>
      </c>
      <c r="B1076" s="119">
        <v>25952.01</v>
      </c>
    </row>
    <row r="1077" spans="1:2" x14ac:dyDescent="0.35">
      <c r="A1077" s="118">
        <v>44490</v>
      </c>
      <c r="B1077" s="119">
        <v>26042.59</v>
      </c>
    </row>
    <row r="1078" spans="1:2" x14ac:dyDescent="0.35">
      <c r="A1078" s="118">
        <v>44489</v>
      </c>
      <c r="B1078" s="119">
        <v>26165.78</v>
      </c>
    </row>
    <row r="1079" spans="1:2" x14ac:dyDescent="0.35">
      <c r="A1079" s="118">
        <v>44488</v>
      </c>
      <c r="B1079" s="119">
        <v>26383.71</v>
      </c>
    </row>
    <row r="1080" spans="1:2" x14ac:dyDescent="0.35">
      <c r="A1080" s="118">
        <v>44487</v>
      </c>
      <c r="B1080" s="119">
        <v>26467.21</v>
      </c>
    </row>
    <row r="1081" spans="1:2" x14ac:dyDescent="0.35">
      <c r="A1081" s="118">
        <v>44483</v>
      </c>
      <c r="B1081" s="119">
        <v>26268.83</v>
      </c>
    </row>
    <row r="1082" spans="1:2" x14ac:dyDescent="0.35">
      <c r="A1082" s="118">
        <v>44482</v>
      </c>
      <c r="B1082" s="119">
        <v>26013.19</v>
      </c>
    </row>
    <row r="1083" spans="1:2" x14ac:dyDescent="0.35">
      <c r="A1083" s="118">
        <v>44481</v>
      </c>
      <c r="B1083" s="119">
        <v>25770.01</v>
      </c>
    </row>
    <row r="1084" spans="1:2" x14ac:dyDescent="0.35">
      <c r="A1084" s="118">
        <v>44480</v>
      </c>
      <c r="B1084" s="119">
        <v>25704.1</v>
      </c>
    </row>
    <row r="1085" spans="1:2" x14ac:dyDescent="0.35">
      <c r="A1085" s="118">
        <v>44477</v>
      </c>
      <c r="B1085" s="119">
        <v>25631.38</v>
      </c>
    </row>
    <row r="1086" spans="1:2" x14ac:dyDescent="0.35">
      <c r="A1086" s="118">
        <v>44476</v>
      </c>
      <c r="B1086" s="119">
        <v>25481.26</v>
      </c>
    </row>
    <row r="1087" spans="1:2" x14ac:dyDescent="0.35">
      <c r="A1087" s="118">
        <v>44475</v>
      </c>
      <c r="B1087" s="119">
        <v>25274.48</v>
      </c>
    </row>
    <row r="1088" spans="1:2" x14ac:dyDescent="0.35">
      <c r="A1088" s="118">
        <v>44474</v>
      </c>
      <c r="B1088" s="119">
        <v>25526.98</v>
      </c>
    </row>
    <row r="1089" spans="1:2" x14ac:dyDescent="0.35">
      <c r="A1089" s="118">
        <v>44473</v>
      </c>
      <c r="B1089" s="119">
        <v>25339.32</v>
      </c>
    </row>
    <row r="1090" spans="1:2" x14ac:dyDescent="0.35">
      <c r="A1090" s="118">
        <v>44470</v>
      </c>
      <c r="B1090" s="119">
        <v>25111.25</v>
      </c>
    </row>
    <row r="1091" spans="1:2" x14ac:dyDescent="0.35">
      <c r="A1091" s="118">
        <v>44469</v>
      </c>
      <c r="B1091" s="119">
        <v>25234.57</v>
      </c>
    </row>
    <row r="1092" spans="1:2" x14ac:dyDescent="0.35">
      <c r="A1092" s="118">
        <v>44468</v>
      </c>
      <c r="B1092" s="119">
        <v>25367.99</v>
      </c>
    </row>
    <row r="1093" spans="1:2" x14ac:dyDescent="0.35">
      <c r="A1093" s="118">
        <v>44467</v>
      </c>
      <c r="B1093" s="119">
        <v>25421.46</v>
      </c>
    </row>
    <row r="1094" spans="1:2" x14ac:dyDescent="0.35">
      <c r="A1094" s="118">
        <v>44466</v>
      </c>
      <c r="B1094" s="119">
        <v>25573.99</v>
      </c>
    </row>
    <row r="1095" spans="1:2" x14ac:dyDescent="0.35">
      <c r="A1095" s="118">
        <v>44463</v>
      </c>
      <c r="B1095" s="119">
        <v>25571.24</v>
      </c>
    </row>
    <row r="1096" spans="1:2" x14ac:dyDescent="0.35">
      <c r="A1096" s="118">
        <v>44462</v>
      </c>
      <c r="B1096" s="119">
        <v>25527.919999999998</v>
      </c>
    </row>
    <row r="1097" spans="1:2" x14ac:dyDescent="0.35">
      <c r="A1097" s="118">
        <v>44461</v>
      </c>
      <c r="B1097" s="119">
        <v>25132.15</v>
      </c>
    </row>
    <row r="1098" spans="1:2" x14ac:dyDescent="0.35">
      <c r="A1098" s="118">
        <v>44460</v>
      </c>
      <c r="B1098" s="119">
        <v>25154.16</v>
      </c>
    </row>
    <row r="1099" spans="1:2" x14ac:dyDescent="0.35">
      <c r="A1099" s="118">
        <v>44459</v>
      </c>
      <c r="B1099" s="119">
        <v>24917.72</v>
      </c>
    </row>
    <row r="1100" spans="1:2" x14ac:dyDescent="0.35">
      <c r="A1100" s="118">
        <v>44456</v>
      </c>
      <c r="B1100" s="119">
        <v>25187.34</v>
      </c>
    </row>
    <row r="1101" spans="1:2" x14ac:dyDescent="0.35">
      <c r="A1101" s="118">
        <v>44455</v>
      </c>
      <c r="B1101" s="119">
        <v>25250.87</v>
      </c>
    </row>
    <row r="1102" spans="1:2" x14ac:dyDescent="0.35">
      <c r="A1102" s="118">
        <v>44454</v>
      </c>
      <c r="B1102" s="119">
        <v>25093.22</v>
      </c>
    </row>
    <row r="1103" spans="1:2" x14ac:dyDescent="0.35">
      <c r="A1103" s="118">
        <v>44453</v>
      </c>
      <c r="B1103" s="119">
        <v>24893.51</v>
      </c>
    </row>
    <row r="1104" spans="1:2" x14ac:dyDescent="0.35">
      <c r="A1104" s="118">
        <v>44452</v>
      </c>
      <c r="B1104" s="119">
        <v>24858.12</v>
      </c>
    </row>
    <row r="1105" spans="1:2" x14ac:dyDescent="0.35">
      <c r="A1105" s="118">
        <v>44448</v>
      </c>
      <c r="B1105" s="119">
        <v>24878.09</v>
      </c>
    </row>
    <row r="1106" spans="1:2" x14ac:dyDescent="0.35">
      <c r="A1106" s="118">
        <v>44447</v>
      </c>
      <c r="B1106" s="119">
        <v>24855.5</v>
      </c>
    </row>
    <row r="1107" spans="1:2" x14ac:dyDescent="0.35">
      <c r="A1107" s="118">
        <v>44446</v>
      </c>
      <c r="B1107" s="119">
        <v>24857.27</v>
      </c>
    </row>
    <row r="1108" spans="1:2" x14ac:dyDescent="0.35">
      <c r="A1108" s="118">
        <v>44445</v>
      </c>
      <c r="B1108" s="119">
        <v>24879.79</v>
      </c>
    </row>
    <row r="1109" spans="1:2" x14ac:dyDescent="0.35">
      <c r="A1109" s="118">
        <v>44442</v>
      </c>
      <c r="B1109" s="119">
        <v>24802.17</v>
      </c>
    </row>
    <row r="1110" spans="1:2" x14ac:dyDescent="0.35">
      <c r="A1110" s="118">
        <v>44441</v>
      </c>
      <c r="B1110" s="119">
        <v>24674.11</v>
      </c>
    </row>
    <row r="1111" spans="1:2" x14ac:dyDescent="0.35">
      <c r="A1111" s="118">
        <v>44440</v>
      </c>
      <c r="B1111" s="119">
        <v>24445.62</v>
      </c>
    </row>
    <row r="1112" spans="1:2" x14ac:dyDescent="0.35">
      <c r="A1112" s="118">
        <v>44439</v>
      </c>
      <c r="B1112" s="119">
        <v>24525.71</v>
      </c>
    </row>
    <row r="1113" spans="1:2" x14ac:dyDescent="0.35">
      <c r="A1113" s="118">
        <v>44438</v>
      </c>
      <c r="B1113" s="119">
        <v>24237.8</v>
      </c>
    </row>
    <row r="1114" spans="1:2" x14ac:dyDescent="0.35">
      <c r="A1114" s="118">
        <v>44435</v>
      </c>
      <c r="B1114" s="119">
        <v>23914.48</v>
      </c>
    </row>
    <row r="1115" spans="1:2" x14ac:dyDescent="0.35">
      <c r="A1115" s="118">
        <v>44434</v>
      </c>
      <c r="B1115" s="119">
        <v>23816.68</v>
      </c>
    </row>
    <row r="1116" spans="1:2" x14ac:dyDescent="0.35">
      <c r="A1116" s="118">
        <v>44433</v>
      </c>
      <c r="B1116" s="119">
        <v>23813.43</v>
      </c>
    </row>
    <row r="1117" spans="1:2" x14ac:dyDescent="0.35">
      <c r="A1117" s="118">
        <v>44432</v>
      </c>
      <c r="B1117" s="119">
        <v>23799.1</v>
      </c>
    </row>
    <row r="1118" spans="1:2" x14ac:dyDescent="0.35">
      <c r="A1118" s="118">
        <v>44431</v>
      </c>
      <c r="B1118" s="119">
        <v>23615.61</v>
      </c>
    </row>
    <row r="1119" spans="1:2" x14ac:dyDescent="0.35">
      <c r="A1119" s="118">
        <v>44428</v>
      </c>
      <c r="B1119" s="119">
        <v>23549.09</v>
      </c>
    </row>
    <row r="1120" spans="1:2" x14ac:dyDescent="0.35">
      <c r="A1120" s="118">
        <v>44426</v>
      </c>
      <c r="B1120" s="119">
        <v>23718.57</v>
      </c>
    </row>
    <row r="1121" spans="1:2" x14ac:dyDescent="0.35">
      <c r="A1121" s="118">
        <v>44425</v>
      </c>
      <c r="B1121" s="119">
        <v>23784.05</v>
      </c>
    </row>
    <row r="1122" spans="1:2" x14ac:dyDescent="0.35">
      <c r="A1122" s="118">
        <v>44424</v>
      </c>
      <c r="B1122" s="119">
        <v>23708.38</v>
      </c>
    </row>
    <row r="1123" spans="1:2" x14ac:dyDescent="0.35">
      <c r="A1123" s="118">
        <v>44421</v>
      </c>
      <c r="B1123" s="119">
        <v>23659.78</v>
      </c>
    </row>
    <row r="1124" spans="1:2" x14ac:dyDescent="0.35">
      <c r="A1124" s="118">
        <v>44420</v>
      </c>
      <c r="B1124" s="119">
        <v>23424.04</v>
      </c>
    </row>
    <row r="1125" spans="1:2" x14ac:dyDescent="0.35">
      <c r="A1125" s="118">
        <v>44419</v>
      </c>
      <c r="B1125" s="119">
        <v>23303.89</v>
      </c>
    </row>
    <row r="1126" spans="1:2" x14ac:dyDescent="0.35">
      <c r="A1126" s="118">
        <v>44418</v>
      </c>
      <c r="B1126" s="119">
        <v>23300.36</v>
      </c>
    </row>
    <row r="1127" spans="1:2" x14ac:dyDescent="0.35">
      <c r="A1127" s="118">
        <v>44417</v>
      </c>
      <c r="B1127" s="119">
        <v>23269.119999999999</v>
      </c>
    </row>
    <row r="1128" spans="1:2" x14ac:dyDescent="0.35">
      <c r="A1128" s="118">
        <v>44414</v>
      </c>
      <c r="B1128" s="119">
        <v>23238.83</v>
      </c>
    </row>
    <row r="1129" spans="1:2" x14ac:dyDescent="0.35">
      <c r="A1129" s="118">
        <v>44413</v>
      </c>
      <c r="B1129" s="119">
        <v>23319.53</v>
      </c>
    </row>
    <row r="1130" spans="1:2" x14ac:dyDescent="0.35">
      <c r="A1130" s="118">
        <v>44412</v>
      </c>
      <c r="B1130" s="119">
        <v>23265.07</v>
      </c>
    </row>
    <row r="1131" spans="1:2" x14ac:dyDescent="0.35">
      <c r="A1131" s="118">
        <v>44411</v>
      </c>
      <c r="B1131" s="119">
        <v>23081.86</v>
      </c>
    </row>
    <row r="1132" spans="1:2" x14ac:dyDescent="0.35">
      <c r="A1132" s="118">
        <v>44410</v>
      </c>
      <c r="B1132" s="119">
        <v>22730.42</v>
      </c>
    </row>
    <row r="1133" spans="1:2" x14ac:dyDescent="0.35">
      <c r="A1133" s="118">
        <v>44407</v>
      </c>
      <c r="B1133" s="119">
        <v>22554.26</v>
      </c>
    </row>
    <row r="1134" spans="1:2" x14ac:dyDescent="0.35">
      <c r="A1134" s="118">
        <v>44406</v>
      </c>
      <c r="B1134" s="119">
        <v>22576.34</v>
      </c>
    </row>
    <row r="1135" spans="1:2" x14ac:dyDescent="0.35">
      <c r="A1135" s="118">
        <v>44405</v>
      </c>
      <c r="B1135" s="119">
        <v>22472.95</v>
      </c>
    </row>
    <row r="1136" spans="1:2" x14ac:dyDescent="0.35">
      <c r="A1136" s="118">
        <v>44404</v>
      </c>
      <c r="B1136" s="119">
        <v>22518.799999999999</v>
      </c>
    </row>
    <row r="1137" spans="1:2" x14ac:dyDescent="0.35">
      <c r="A1137" s="118">
        <v>44403</v>
      </c>
      <c r="B1137" s="119">
        <v>22628.19</v>
      </c>
    </row>
    <row r="1138" spans="1:2" x14ac:dyDescent="0.35">
      <c r="A1138" s="118">
        <v>44400</v>
      </c>
      <c r="B1138" s="119">
        <v>22673.35</v>
      </c>
    </row>
    <row r="1139" spans="1:2" x14ac:dyDescent="0.35">
      <c r="A1139" s="118">
        <v>44399</v>
      </c>
      <c r="B1139" s="119">
        <v>22621.45</v>
      </c>
    </row>
    <row r="1140" spans="1:2" x14ac:dyDescent="0.35">
      <c r="A1140" s="118">
        <v>44397</v>
      </c>
      <c r="B1140" s="119">
        <v>22344.81</v>
      </c>
    </row>
    <row r="1141" spans="1:2" x14ac:dyDescent="0.35">
      <c r="A1141" s="118">
        <v>44396</v>
      </c>
      <c r="B1141" s="119">
        <v>22516.71</v>
      </c>
    </row>
    <row r="1142" spans="1:2" x14ac:dyDescent="0.35">
      <c r="A1142" s="118">
        <v>44393</v>
      </c>
      <c r="B1142" s="119">
        <v>22761.200000000001</v>
      </c>
    </row>
    <row r="1143" spans="1:2" x14ac:dyDescent="0.35">
      <c r="A1143" s="118">
        <v>44392</v>
      </c>
      <c r="B1143" s="119">
        <v>22762.34</v>
      </c>
    </row>
    <row r="1144" spans="1:2" x14ac:dyDescent="0.35">
      <c r="A1144" s="118">
        <v>44391</v>
      </c>
      <c r="B1144" s="119">
        <v>22656.78</v>
      </c>
    </row>
    <row r="1145" spans="1:2" x14ac:dyDescent="0.35">
      <c r="A1145" s="118">
        <v>44390</v>
      </c>
      <c r="B1145" s="119">
        <v>22595.49</v>
      </c>
    </row>
    <row r="1146" spans="1:2" x14ac:dyDescent="0.35">
      <c r="A1146" s="118">
        <v>44389</v>
      </c>
      <c r="B1146" s="119">
        <v>22424.39</v>
      </c>
    </row>
    <row r="1147" spans="1:2" x14ac:dyDescent="0.35">
      <c r="A1147" s="118">
        <v>44386</v>
      </c>
      <c r="B1147" s="119">
        <v>22420.36</v>
      </c>
    </row>
    <row r="1148" spans="1:2" x14ac:dyDescent="0.35">
      <c r="A1148" s="118">
        <v>44385</v>
      </c>
      <c r="B1148" s="119">
        <v>22473.81</v>
      </c>
    </row>
    <row r="1149" spans="1:2" x14ac:dyDescent="0.35">
      <c r="A1149" s="118">
        <v>44384</v>
      </c>
      <c r="B1149" s="119">
        <v>22683.66</v>
      </c>
    </row>
    <row r="1150" spans="1:2" x14ac:dyDescent="0.35">
      <c r="A1150" s="118">
        <v>44383</v>
      </c>
      <c r="B1150" s="119">
        <v>22595.93</v>
      </c>
    </row>
    <row r="1151" spans="1:2" x14ac:dyDescent="0.35">
      <c r="A1151" s="118">
        <v>44382</v>
      </c>
      <c r="B1151" s="119">
        <v>22618.97</v>
      </c>
    </row>
    <row r="1152" spans="1:2" x14ac:dyDescent="0.35">
      <c r="A1152" s="118">
        <v>44379</v>
      </c>
      <c r="B1152" s="119">
        <v>22456.66</v>
      </c>
    </row>
    <row r="1153" spans="1:2" x14ac:dyDescent="0.35">
      <c r="A1153" s="118">
        <v>44378</v>
      </c>
      <c r="B1153" s="119">
        <v>22396.400000000001</v>
      </c>
    </row>
    <row r="1154" spans="1:2" x14ac:dyDescent="0.35">
      <c r="A1154" s="118">
        <v>44377</v>
      </c>
      <c r="B1154" s="119">
        <v>22455.7</v>
      </c>
    </row>
    <row r="1155" spans="1:2" x14ac:dyDescent="0.35">
      <c r="A1155" s="118">
        <v>44376</v>
      </c>
      <c r="B1155" s="119">
        <v>22493.599999999999</v>
      </c>
    </row>
    <row r="1156" spans="1:2" x14ac:dyDescent="0.35">
      <c r="A1156" s="118">
        <v>44375</v>
      </c>
      <c r="B1156" s="119">
        <v>22578.86</v>
      </c>
    </row>
    <row r="1157" spans="1:2" x14ac:dyDescent="0.35">
      <c r="A1157" s="118">
        <v>44372</v>
      </c>
      <c r="B1157" s="119">
        <v>22644.06</v>
      </c>
    </row>
    <row r="1158" spans="1:2" x14ac:dyDescent="0.35">
      <c r="A1158" s="118">
        <v>44371</v>
      </c>
      <c r="B1158" s="119">
        <v>22544.26</v>
      </c>
    </row>
    <row r="1159" spans="1:2" x14ac:dyDescent="0.35">
      <c r="A1159" s="118">
        <v>44370</v>
      </c>
      <c r="B1159" s="119">
        <v>22395.25</v>
      </c>
    </row>
    <row r="1160" spans="1:2" x14ac:dyDescent="0.35">
      <c r="A1160" s="118">
        <v>44369</v>
      </c>
      <c r="B1160" s="119">
        <v>22517.74</v>
      </c>
    </row>
    <row r="1161" spans="1:2" x14ac:dyDescent="0.35">
      <c r="A1161" s="118">
        <v>44368</v>
      </c>
      <c r="B1161" s="119">
        <v>22480.3</v>
      </c>
    </row>
    <row r="1162" spans="1:2" x14ac:dyDescent="0.35">
      <c r="A1162" s="118">
        <v>44365</v>
      </c>
      <c r="B1162" s="119">
        <v>22390.11</v>
      </c>
    </row>
    <row r="1163" spans="1:2" x14ac:dyDescent="0.35">
      <c r="A1163" s="118">
        <v>44364</v>
      </c>
      <c r="B1163" s="119">
        <v>22401.65</v>
      </c>
    </row>
    <row r="1164" spans="1:2" x14ac:dyDescent="0.35">
      <c r="A1164" s="118">
        <v>44363</v>
      </c>
      <c r="B1164" s="119">
        <v>22503.9</v>
      </c>
    </row>
    <row r="1165" spans="1:2" x14ac:dyDescent="0.35">
      <c r="A1165" s="118">
        <v>44362</v>
      </c>
      <c r="B1165" s="119">
        <v>22649.05</v>
      </c>
    </row>
    <row r="1166" spans="1:2" x14ac:dyDescent="0.35">
      <c r="A1166" s="118">
        <v>44361</v>
      </c>
      <c r="B1166" s="119">
        <v>22567.11</v>
      </c>
    </row>
    <row r="1167" spans="1:2" x14ac:dyDescent="0.35">
      <c r="A1167" s="118">
        <v>44358</v>
      </c>
      <c r="B1167" s="119">
        <v>22544.26</v>
      </c>
    </row>
    <row r="1168" spans="1:2" x14ac:dyDescent="0.35">
      <c r="A1168" s="118">
        <v>44357</v>
      </c>
      <c r="B1168" s="119">
        <v>22448.94</v>
      </c>
    </row>
    <row r="1169" spans="1:2" x14ac:dyDescent="0.35">
      <c r="A1169" s="118">
        <v>44356</v>
      </c>
      <c r="B1169" s="119">
        <v>22283.52</v>
      </c>
    </row>
    <row r="1170" spans="1:2" x14ac:dyDescent="0.35">
      <c r="A1170" s="118">
        <v>44355</v>
      </c>
      <c r="B1170" s="119">
        <v>22432.77</v>
      </c>
    </row>
    <row r="1171" spans="1:2" x14ac:dyDescent="0.35">
      <c r="A1171" s="118">
        <v>44354</v>
      </c>
      <c r="B1171" s="119">
        <v>22449.24</v>
      </c>
    </row>
    <row r="1172" spans="1:2" x14ac:dyDescent="0.35">
      <c r="A1172" s="118">
        <v>44351</v>
      </c>
      <c r="B1172" s="119">
        <v>22333.23</v>
      </c>
    </row>
    <row r="1173" spans="1:2" x14ac:dyDescent="0.35">
      <c r="A1173" s="118">
        <v>44350</v>
      </c>
      <c r="B1173" s="119">
        <v>22361.86</v>
      </c>
    </row>
    <row r="1174" spans="1:2" x14ac:dyDescent="0.35">
      <c r="A1174" s="118">
        <v>44349</v>
      </c>
      <c r="B1174" s="119">
        <v>22194.18</v>
      </c>
    </row>
    <row r="1175" spans="1:2" x14ac:dyDescent="0.35">
      <c r="A1175" s="118">
        <v>44348</v>
      </c>
      <c r="B1175" s="119">
        <v>22192.25</v>
      </c>
    </row>
    <row r="1176" spans="1:2" x14ac:dyDescent="0.35">
      <c r="A1176" s="118">
        <v>44347</v>
      </c>
      <c r="B1176" s="119">
        <v>22203.59</v>
      </c>
    </row>
    <row r="1177" spans="1:2" x14ac:dyDescent="0.35">
      <c r="A1177" s="118">
        <v>44344</v>
      </c>
      <c r="B1177" s="119">
        <v>21962.31</v>
      </c>
    </row>
    <row r="1178" spans="1:2" x14ac:dyDescent="0.35">
      <c r="A1178" s="118">
        <v>44343</v>
      </c>
      <c r="B1178" s="119">
        <v>21823.14</v>
      </c>
    </row>
    <row r="1179" spans="1:2" x14ac:dyDescent="0.35">
      <c r="A1179" s="118">
        <v>44342</v>
      </c>
      <c r="B1179" s="119">
        <v>21771.35</v>
      </c>
    </row>
    <row r="1180" spans="1:2" x14ac:dyDescent="0.35">
      <c r="A1180" s="118">
        <v>44341</v>
      </c>
      <c r="B1180" s="119">
        <v>21639.040000000001</v>
      </c>
    </row>
    <row r="1181" spans="1:2" x14ac:dyDescent="0.35">
      <c r="A1181" s="118">
        <v>44340</v>
      </c>
      <c r="B1181" s="119">
        <v>21617.03</v>
      </c>
    </row>
    <row r="1182" spans="1:2" x14ac:dyDescent="0.35">
      <c r="A1182" s="118">
        <v>44337</v>
      </c>
      <c r="B1182" s="119">
        <v>21585.18</v>
      </c>
    </row>
    <row r="1183" spans="1:2" x14ac:dyDescent="0.35">
      <c r="A1183" s="118">
        <v>44336</v>
      </c>
      <c r="B1183" s="119">
        <v>21202.21</v>
      </c>
    </row>
    <row r="1184" spans="1:2" x14ac:dyDescent="0.35">
      <c r="A1184" s="118">
        <v>44335</v>
      </c>
      <c r="B1184" s="119">
        <v>21378.71</v>
      </c>
    </row>
    <row r="1185" spans="1:2" x14ac:dyDescent="0.35">
      <c r="A1185" s="118">
        <v>44334</v>
      </c>
      <c r="B1185" s="119">
        <v>21489.56</v>
      </c>
    </row>
    <row r="1186" spans="1:2" x14ac:dyDescent="0.35">
      <c r="A1186" s="118">
        <v>44333</v>
      </c>
      <c r="B1186" s="119">
        <v>21226.53</v>
      </c>
    </row>
    <row r="1187" spans="1:2" x14ac:dyDescent="0.35">
      <c r="A1187" s="118">
        <v>44330</v>
      </c>
      <c r="B1187" s="119">
        <v>20877.560000000001</v>
      </c>
    </row>
    <row r="1188" spans="1:2" x14ac:dyDescent="0.35">
      <c r="A1188" s="118">
        <v>44328</v>
      </c>
      <c r="B1188" s="119">
        <v>20904.13</v>
      </c>
    </row>
    <row r="1189" spans="1:2" x14ac:dyDescent="0.35">
      <c r="A1189" s="118">
        <v>44327</v>
      </c>
      <c r="B1189" s="119">
        <v>21123.53</v>
      </c>
    </row>
    <row r="1190" spans="1:2" x14ac:dyDescent="0.35">
      <c r="A1190" s="118">
        <v>44326</v>
      </c>
      <c r="B1190" s="119">
        <v>21253.8</v>
      </c>
    </row>
    <row r="1191" spans="1:2" x14ac:dyDescent="0.35">
      <c r="A1191" s="118">
        <v>44323</v>
      </c>
      <c r="B1191" s="119">
        <v>21084.26</v>
      </c>
    </row>
    <row r="1192" spans="1:2" x14ac:dyDescent="0.35">
      <c r="A1192" s="118">
        <v>44322</v>
      </c>
      <c r="B1192" s="119">
        <v>20944.41</v>
      </c>
    </row>
    <row r="1193" spans="1:2" x14ac:dyDescent="0.35">
      <c r="A1193" s="118">
        <v>44321</v>
      </c>
      <c r="B1193" s="119">
        <v>20792.240000000002</v>
      </c>
    </row>
    <row r="1194" spans="1:2" x14ac:dyDescent="0.35">
      <c r="A1194" s="118">
        <v>44320</v>
      </c>
      <c r="B1194" s="119">
        <v>20619.62</v>
      </c>
    </row>
    <row r="1195" spans="1:2" x14ac:dyDescent="0.35">
      <c r="A1195" s="118">
        <v>44319</v>
      </c>
      <c r="B1195" s="119">
        <v>20815.43</v>
      </c>
    </row>
    <row r="1196" spans="1:2" x14ac:dyDescent="0.35">
      <c r="A1196" s="118">
        <v>44316</v>
      </c>
      <c r="B1196" s="119">
        <v>20811.13</v>
      </c>
    </row>
    <row r="1197" spans="1:2" x14ac:dyDescent="0.35">
      <c r="A1197" s="118">
        <v>44315</v>
      </c>
      <c r="B1197" s="119">
        <v>21186.3</v>
      </c>
    </row>
    <row r="1198" spans="1:2" x14ac:dyDescent="0.35">
      <c r="A1198" s="118">
        <v>44314</v>
      </c>
      <c r="B1198" s="119">
        <v>21136.41</v>
      </c>
    </row>
    <row r="1199" spans="1:2" x14ac:dyDescent="0.35">
      <c r="A1199" s="118">
        <v>44313</v>
      </c>
      <c r="B1199" s="119">
        <v>20835.669999999998</v>
      </c>
    </row>
    <row r="1200" spans="1:2" x14ac:dyDescent="0.35">
      <c r="A1200" s="118">
        <v>44312</v>
      </c>
      <c r="B1200" s="119">
        <v>20596.72</v>
      </c>
    </row>
    <row r="1201" spans="1:2" x14ac:dyDescent="0.35">
      <c r="A1201" s="118">
        <v>44309</v>
      </c>
      <c r="B1201" s="119">
        <v>20392.439999999999</v>
      </c>
    </row>
    <row r="1202" spans="1:2" x14ac:dyDescent="0.35">
      <c r="A1202" s="118">
        <v>44308</v>
      </c>
      <c r="B1202" s="119">
        <v>20484.63</v>
      </c>
    </row>
    <row r="1203" spans="1:2" x14ac:dyDescent="0.35">
      <c r="A1203" s="118">
        <v>44306</v>
      </c>
      <c r="B1203" s="119">
        <v>20328.55</v>
      </c>
    </row>
    <row r="1204" spans="1:2" x14ac:dyDescent="0.35">
      <c r="A1204" s="118">
        <v>44305</v>
      </c>
      <c r="B1204" s="119">
        <v>20418.16</v>
      </c>
    </row>
    <row r="1205" spans="1:2" x14ac:dyDescent="0.35">
      <c r="A1205" s="118">
        <v>44302</v>
      </c>
      <c r="B1205" s="119">
        <v>20785.61</v>
      </c>
    </row>
    <row r="1206" spans="1:2" x14ac:dyDescent="0.35">
      <c r="A1206" s="118">
        <v>44301</v>
      </c>
      <c r="B1206" s="119">
        <v>20733.88</v>
      </c>
    </row>
    <row r="1207" spans="1:2" x14ac:dyDescent="0.35">
      <c r="A1207" s="118">
        <v>44299</v>
      </c>
      <c r="B1207" s="119">
        <v>20624.86</v>
      </c>
    </row>
    <row r="1208" spans="1:2" x14ac:dyDescent="0.35">
      <c r="A1208" s="118">
        <v>44298</v>
      </c>
      <c r="B1208" s="119">
        <v>20348.990000000002</v>
      </c>
    </row>
    <row r="1209" spans="1:2" x14ac:dyDescent="0.35">
      <c r="A1209" s="118">
        <v>44295</v>
      </c>
      <c r="B1209" s="119">
        <v>21094.17</v>
      </c>
    </row>
    <row r="1210" spans="1:2" x14ac:dyDescent="0.35">
      <c r="A1210" s="118">
        <v>44294</v>
      </c>
      <c r="B1210" s="119">
        <v>21149.59</v>
      </c>
    </row>
    <row r="1211" spans="1:2" x14ac:dyDescent="0.35">
      <c r="A1211" s="118">
        <v>44293</v>
      </c>
      <c r="B1211" s="119">
        <v>21069.32</v>
      </c>
    </row>
    <row r="1212" spans="1:2" x14ac:dyDescent="0.35">
      <c r="A1212" s="118">
        <v>44292</v>
      </c>
      <c r="B1212" s="119">
        <v>20876.57</v>
      </c>
    </row>
    <row r="1213" spans="1:2" x14ac:dyDescent="0.35">
      <c r="A1213" s="118">
        <v>44291</v>
      </c>
      <c r="B1213" s="119">
        <v>20811.61</v>
      </c>
    </row>
    <row r="1214" spans="1:2" x14ac:dyDescent="0.35">
      <c r="A1214" s="118">
        <v>44287</v>
      </c>
      <c r="B1214" s="119">
        <v>21137.69</v>
      </c>
    </row>
    <row r="1215" spans="1:2" x14ac:dyDescent="0.35">
      <c r="A1215" s="118">
        <v>44286</v>
      </c>
      <c r="B1215" s="119">
        <v>20886.52</v>
      </c>
    </row>
    <row r="1216" spans="1:2" x14ac:dyDescent="0.35">
      <c r="A1216" s="118">
        <v>44285</v>
      </c>
      <c r="B1216" s="119">
        <v>21106.06</v>
      </c>
    </row>
    <row r="1217" spans="1:2" x14ac:dyDescent="0.35">
      <c r="A1217" s="118">
        <v>44281</v>
      </c>
      <c r="B1217" s="119">
        <v>20625.79</v>
      </c>
    </row>
    <row r="1218" spans="1:2" x14ac:dyDescent="0.35">
      <c r="A1218" s="118">
        <v>44280</v>
      </c>
      <c r="B1218" s="119">
        <v>20366.419999999998</v>
      </c>
    </row>
    <row r="1219" spans="1:2" x14ac:dyDescent="0.35">
      <c r="A1219" s="118">
        <v>44279</v>
      </c>
      <c r="B1219" s="119">
        <v>20684.27</v>
      </c>
    </row>
    <row r="1220" spans="1:2" x14ac:dyDescent="0.35">
      <c r="A1220" s="118">
        <v>44278</v>
      </c>
      <c r="B1220" s="119">
        <v>21061.52</v>
      </c>
    </row>
    <row r="1221" spans="1:2" x14ac:dyDescent="0.35">
      <c r="A1221" s="118">
        <v>44277</v>
      </c>
      <c r="B1221" s="119">
        <v>20947.650000000001</v>
      </c>
    </row>
    <row r="1222" spans="1:2" x14ac:dyDescent="0.35">
      <c r="A1222" s="118">
        <v>44274</v>
      </c>
      <c r="B1222" s="119">
        <v>20956.87</v>
      </c>
    </row>
    <row r="1223" spans="1:2" x14ac:dyDescent="0.35">
      <c r="A1223" s="118">
        <v>44273</v>
      </c>
      <c r="B1223" s="119">
        <v>20692.34</v>
      </c>
    </row>
    <row r="1224" spans="1:2" x14ac:dyDescent="0.35">
      <c r="A1224" s="118">
        <v>44272</v>
      </c>
      <c r="B1224" s="119">
        <v>20924.61</v>
      </c>
    </row>
    <row r="1225" spans="1:2" x14ac:dyDescent="0.35">
      <c r="A1225" s="118">
        <v>44271</v>
      </c>
      <c r="B1225" s="119">
        <v>21193.46</v>
      </c>
    </row>
    <row r="1226" spans="1:2" x14ac:dyDescent="0.35">
      <c r="A1226" s="118">
        <v>44270</v>
      </c>
      <c r="B1226" s="119">
        <v>21220.59</v>
      </c>
    </row>
    <row r="1227" spans="1:2" x14ac:dyDescent="0.35">
      <c r="A1227" s="118">
        <v>44267</v>
      </c>
      <c r="B1227" s="119">
        <v>21361.29</v>
      </c>
    </row>
    <row r="1228" spans="1:2" x14ac:dyDescent="0.35">
      <c r="A1228" s="118">
        <v>44265</v>
      </c>
      <c r="B1228" s="119">
        <v>21565.72</v>
      </c>
    </row>
    <row r="1229" spans="1:2" x14ac:dyDescent="0.35">
      <c r="A1229" s="118">
        <v>44264</v>
      </c>
      <c r="B1229" s="119">
        <v>21457.17</v>
      </c>
    </row>
    <row r="1230" spans="1:2" x14ac:dyDescent="0.35">
      <c r="A1230" s="118">
        <v>44263</v>
      </c>
      <c r="B1230" s="119">
        <v>21255.06</v>
      </c>
    </row>
    <row r="1231" spans="1:2" x14ac:dyDescent="0.35">
      <c r="A1231" s="118">
        <v>44260</v>
      </c>
      <c r="B1231" s="119">
        <v>21225.94</v>
      </c>
    </row>
    <row r="1232" spans="1:2" x14ac:dyDescent="0.35">
      <c r="A1232" s="118">
        <v>44259</v>
      </c>
      <c r="B1232" s="119">
        <v>21428.63</v>
      </c>
    </row>
    <row r="1233" spans="1:2" x14ac:dyDescent="0.35">
      <c r="A1233" s="118">
        <v>44258</v>
      </c>
      <c r="B1233" s="119">
        <v>21662.92</v>
      </c>
    </row>
    <row r="1234" spans="1:2" x14ac:dyDescent="0.35">
      <c r="A1234" s="118">
        <v>44257</v>
      </c>
      <c r="B1234" s="119">
        <v>21198.93</v>
      </c>
    </row>
    <row r="1235" spans="1:2" x14ac:dyDescent="0.35">
      <c r="A1235" s="118">
        <v>44256</v>
      </c>
      <c r="B1235" s="119">
        <v>20975.08</v>
      </c>
    </row>
    <row r="1236" spans="1:2" x14ac:dyDescent="0.35">
      <c r="A1236" s="118">
        <v>44253</v>
      </c>
      <c r="B1236" s="119">
        <v>20644.88</v>
      </c>
    </row>
    <row r="1237" spans="1:2" x14ac:dyDescent="0.35">
      <c r="A1237" s="118">
        <v>44252</v>
      </c>
      <c r="B1237" s="119">
        <v>21452.240000000002</v>
      </c>
    </row>
    <row r="1238" spans="1:2" x14ac:dyDescent="0.35">
      <c r="A1238" s="118">
        <v>44251</v>
      </c>
      <c r="B1238" s="119">
        <v>21288.35</v>
      </c>
    </row>
    <row r="1239" spans="1:2" x14ac:dyDescent="0.35">
      <c r="A1239" s="118">
        <v>44250</v>
      </c>
      <c r="B1239" s="119">
        <v>20898.75</v>
      </c>
    </row>
    <row r="1240" spans="1:2" x14ac:dyDescent="0.35">
      <c r="A1240" s="118">
        <v>44249</v>
      </c>
      <c r="B1240" s="119">
        <v>20853.12</v>
      </c>
    </row>
    <row r="1241" spans="1:2" x14ac:dyDescent="0.35">
      <c r="A1241" s="118">
        <v>44246</v>
      </c>
      <c r="B1241" s="119">
        <v>21273.279999999999</v>
      </c>
    </row>
    <row r="1242" spans="1:2" x14ac:dyDescent="0.35">
      <c r="A1242" s="118">
        <v>44245</v>
      </c>
      <c r="B1242" s="119">
        <v>21468.11</v>
      </c>
    </row>
    <row r="1243" spans="1:2" x14ac:dyDescent="0.35">
      <c r="A1243" s="118">
        <v>44244</v>
      </c>
      <c r="B1243" s="119">
        <v>21595.82</v>
      </c>
    </row>
    <row r="1244" spans="1:2" x14ac:dyDescent="0.35">
      <c r="A1244" s="118">
        <v>44243</v>
      </c>
      <c r="B1244" s="119">
        <v>21737.9</v>
      </c>
    </row>
    <row r="1245" spans="1:2" x14ac:dyDescent="0.35">
      <c r="A1245" s="118">
        <v>44242</v>
      </c>
      <c r="B1245" s="119">
        <v>21739.69</v>
      </c>
    </row>
    <row r="1246" spans="1:2" x14ac:dyDescent="0.35">
      <c r="A1246" s="118">
        <v>44239</v>
      </c>
      <c r="B1246" s="119">
        <v>21521.82</v>
      </c>
    </row>
    <row r="1247" spans="1:2" x14ac:dyDescent="0.35">
      <c r="A1247" s="118">
        <v>44238</v>
      </c>
      <c r="B1247" s="119">
        <v>21536</v>
      </c>
    </row>
    <row r="1248" spans="1:2" x14ac:dyDescent="0.35">
      <c r="A1248" s="118">
        <v>44237</v>
      </c>
      <c r="B1248" s="119">
        <v>21436.44</v>
      </c>
    </row>
    <row r="1249" spans="1:2" x14ac:dyDescent="0.35">
      <c r="A1249" s="118">
        <v>44236</v>
      </c>
      <c r="B1249" s="119">
        <v>21440.42</v>
      </c>
    </row>
    <row r="1250" spans="1:2" x14ac:dyDescent="0.35">
      <c r="A1250" s="118">
        <v>44235</v>
      </c>
      <c r="B1250" s="119">
        <v>21447.64</v>
      </c>
    </row>
    <row r="1251" spans="1:2" x14ac:dyDescent="0.35">
      <c r="A1251" s="118">
        <v>44232</v>
      </c>
      <c r="B1251" s="119">
        <v>21175.89</v>
      </c>
    </row>
    <row r="1252" spans="1:2" x14ac:dyDescent="0.35">
      <c r="A1252" s="118">
        <v>44231</v>
      </c>
      <c r="B1252" s="119">
        <v>21135.31</v>
      </c>
    </row>
    <row r="1253" spans="1:2" x14ac:dyDescent="0.35">
      <c r="A1253" s="118">
        <v>44230</v>
      </c>
      <c r="B1253" s="119">
        <v>20985.32</v>
      </c>
    </row>
    <row r="1254" spans="1:2" x14ac:dyDescent="0.35">
      <c r="A1254" s="118">
        <v>44229</v>
      </c>
      <c r="B1254" s="119">
        <v>20783.689999999999</v>
      </c>
    </row>
    <row r="1255" spans="1:2" x14ac:dyDescent="0.35">
      <c r="A1255" s="118">
        <v>44228</v>
      </c>
      <c r="B1255" s="119">
        <v>20263.439999999999</v>
      </c>
    </row>
    <row r="1256" spans="1:2" x14ac:dyDescent="0.35">
      <c r="A1256" s="118">
        <v>44225</v>
      </c>
      <c r="B1256" s="119">
        <v>19346.03</v>
      </c>
    </row>
    <row r="1257" spans="1:2" x14ac:dyDescent="0.35">
      <c r="A1257" s="118">
        <v>44224</v>
      </c>
      <c r="B1257" s="119">
        <v>19605.59</v>
      </c>
    </row>
    <row r="1258" spans="1:2" x14ac:dyDescent="0.35">
      <c r="A1258" s="118">
        <v>44223</v>
      </c>
      <c r="B1258" s="119">
        <v>19818.34</v>
      </c>
    </row>
    <row r="1259" spans="1:2" x14ac:dyDescent="0.35">
      <c r="A1259" s="118">
        <v>44221</v>
      </c>
      <c r="B1259" s="119">
        <v>20201.900000000001</v>
      </c>
    </row>
    <row r="1260" spans="1:2" x14ac:dyDescent="0.35">
      <c r="A1260" s="118">
        <v>44218</v>
      </c>
      <c r="B1260" s="119">
        <v>20390.57</v>
      </c>
    </row>
    <row r="1261" spans="1:2" x14ac:dyDescent="0.35">
      <c r="A1261" s="118">
        <v>44217</v>
      </c>
      <c r="B1261" s="119">
        <v>20700.02</v>
      </c>
    </row>
    <row r="1262" spans="1:2" x14ac:dyDescent="0.35">
      <c r="A1262" s="118">
        <v>44216</v>
      </c>
      <c r="B1262" s="119">
        <v>20775.669999999998</v>
      </c>
    </row>
    <row r="1263" spans="1:2" x14ac:dyDescent="0.35">
      <c r="A1263" s="118">
        <v>44215</v>
      </c>
      <c r="B1263" s="119">
        <v>20600.41</v>
      </c>
    </row>
    <row r="1264" spans="1:2" x14ac:dyDescent="0.35">
      <c r="A1264" s="118">
        <v>44214</v>
      </c>
      <c r="B1264" s="119">
        <v>20260.18</v>
      </c>
    </row>
    <row r="1265" spans="1:2" x14ac:dyDescent="0.35">
      <c r="A1265" s="118">
        <v>44211</v>
      </c>
      <c r="B1265" s="119">
        <v>20476.38</v>
      </c>
    </row>
    <row r="1266" spans="1:2" x14ac:dyDescent="0.35">
      <c r="A1266" s="118">
        <v>44210</v>
      </c>
      <c r="B1266" s="119">
        <v>20706.07</v>
      </c>
    </row>
    <row r="1267" spans="1:2" x14ac:dyDescent="0.35">
      <c r="A1267" s="118">
        <v>44209</v>
      </c>
      <c r="B1267" s="119">
        <v>20660.349999999999</v>
      </c>
    </row>
    <row r="1268" spans="1:2" x14ac:dyDescent="0.35">
      <c r="A1268" s="118">
        <v>44208</v>
      </c>
      <c r="B1268" s="119">
        <v>20658.34</v>
      </c>
    </row>
    <row r="1269" spans="1:2" x14ac:dyDescent="0.35">
      <c r="A1269" s="118">
        <v>44207</v>
      </c>
      <c r="B1269" s="119">
        <v>20546.740000000002</v>
      </c>
    </row>
    <row r="1270" spans="1:2" x14ac:dyDescent="0.35">
      <c r="A1270" s="118">
        <v>44204</v>
      </c>
      <c r="B1270" s="119">
        <v>20351.669999999998</v>
      </c>
    </row>
    <row r="1271" spans="1:2" x14ac:dyDescent="0.35">
      <c r="A1271" s="118">
        <v>44203</v>
      </c>
      <c r="B1271" s="119">
        <v>20053.97</v>
      </c>
    </row>
    <row r="1272" spans="1:2" x14ac:dyDescent="0.35">
      <c r="A1272" s="118">
        <v>44202</v>
      </c>
      <c r="B1272" s="119">
        <v>20066.560000000001</v>
      </c>
    </row>
    <row r="1273" spans="1:2" x14ac:dyDescent="0.35">
      <c r="A1273" s="118">
        <v>44201</v>
      </c>
      <c r="B1273" s="119">
        <v>20142.13</v>
      </c>
    </row>
    <row r="1274" spans="1:2" x14ac:dyDescent="0.35">
      <c r="A1274" s="118">
        <v>44200</v>
      </c>
      <c r="B1274" s="119">
        <v>20047.61</v>
      </c>
    </row>
    <row r="1275" spans="1:2" x14ac:dyDescent="0.35">
      <c r="A1275" s="118">
        <v>44197</v>
      </c>
      <c r="B1275" s="119">
        <v>19885.36</v>
      </c>
    </row>
    <row r="1276" spans="1:2" x14ac:dyDescent="0.35">
      <c r="A1276" s="118">
        <v>44196</v>
      </c>
      <c r="B1276" s="119">
        <v>19833.189999999999</v>
      </c>
    </row>
    <row r="1277" spans="1:2" x14ac:dyDescent="0.35">
      <c r="A1277" s="118">
        <v>44195</v>
      </c>
      <c r="B1277" s="119">
        <v>19833.53</v>
      </c>
    </row>
    <row r="1278" spans="1:2" x14ac:dyDescent="0.35">
      <c r="A1278" s="118">
        <v>44194</v>
      </c>
      <c r="B1278" s="119">
        <v>19763.509999999998</v>
      </c>
    </row>
    <row r="1279" spans="1:2" x14ac:dyDescent="0.35">
      <c r="A1279" s="118">
        <v>44193</v>
      </c>
      <c r="B1279" s="119">
        <v>19679.240000000002</v>
      </c>
    </row>
    <row r="1280" spans="1:2" x14ac:dyDescent="0.35">
      <c r="A1280" s="118">
        <v>44189</v>
      </c>
      <c r="B1280" s="119">
        <v>19503.400000000001</v>
      </c>
    </row>
    <row r="1281" spans="1:2" x14ac:dyDescent="0.35">
      <c r="A1281" s="118">
        <v>44188</v>
      </c>
      <c r="B1281" s="119">
        <v>19293.259999999998</v>
      </c>
    </row>
    <row r="1282" spans="1:2" x14ac:dyDescent="0.35">
      <c r="A1282" s="118">
        <v>44187</v>
      </c>
      <c r="B1282" s="119">
        <v>19102.060000000001</v>
      </c>
    </row>
    <row r="1283" spans="1:2" x14ac:dyDescent="0.35">
      <c r="A1283" s="118">
        <v>44186</v>
      </c>
      <c r="B1283" s="119">
        <v>18906.45</v>
      </c>
    </row>
    <row r="1284" spans="1:2" x14ac:dyDescent="0.35">
      <c r="A1284" s="118">
        <v>44183</v>
      </c>
      <c r="B1284" s="119">
        <v>19519.419999999998</v>
      </c>
    </row>
    <row r="1285" spans="1:2" x14ac:dyDescent="0.35">
      <c r="A1285" s="118">
        <v>44182</v>
      </c>
      <c r="B1285" s="119">
        <v>19491.3</v>
      </c>
    </row>
    <row r="1286" spans="1:2" x14ac:dyDescent="0.35">
      <c r="A1286" s="118">
        <v>44181</v>
      </c>
      <c r="B1286" s="119">
        <v>19404.8</v>
      </c>
    </row>
    <row r="1287" spans="1:2" x14ac:dyDescent="0.35">
      <c r="A1287" s="118">
        <v>44180</v>
      </c>
      <c r="B1287" s="119">
        <v>19241.900000000001</v>
      </c>
    </row>
    <row r="1288" spans="1:2" x14ac:dyDescent="0.35">
      <c r="A1288" s="118">
        <v>44179</v>
      </c>
      <c r="B1288" s="119">
        <v>19228.16</v>
      </c>
    </row>
    <row r="1289" spans="1:2" x14ac:dyDescent="0.35">
      <c r="A1289" s="118">
        <v>44176</v>
      </c>
      <c r="B1289" s="119">
        <v>19165.330000000002</v>
      </c>
    </row>
    <row r="1290" spans="1:2" x14ac:dyDescent="0.35">
      <c r="A1290" s="118">
        <v>44175</v>
      </c>
      <c r="B1290" s="119">
        <v>19114.96</v>
      </c>
    </row>
    <row r="1291" spans="1:2" x14ac:dyDescent="0.35">
      <c r="A1291" s="118">
        <v>44174</v>
      </c>
      <c r="B1291" s="119">
        <v>19186.95</v>
      </c>
    </row>
    <row r="1292" spans="1:2" x14ac:dyDescent="0.35">
      <c r="A1292" s="118">
        <v>44173</v>
      </c>
      <c r="B1292" s="119">
        <v>18993.86</v>
      </c>
    </row>
    <row r="1293" spans="1:2" x14ac:dyDescent="0.35">
      <c r="A1293" s="118">
        <v>44172</v>
      </c>
      <c r="B1293" s="119">
        <v>18941.150000000001</v>
      </c>
    </row>
    <row r="1294" spans="1:2" x14ac:dyDescent="0.35">
      <c r="A1294" s="118">
        <v>44169</v>
      </c>
      <c r="B1294" s="119">
        <v>18803.27</v>
      </c>
    </row>
    <row r="1295" spans="1:2" x14ac:dyDescent="0.35">
      <c r="A1295" s="118">
        <v>44168</v>
      </c>
      <c r="B1295" s="119">
        <v>18626.53</v>
      </c>
    </row>
    <row r="1296" spans="1:2" x14ac:dyDescent="0.35">
      <c r="A1296" s="118">
        <v>44167</v>
      </c>
      <c r="B1296" s="119">
        <v>18597.900000000001</v>
      </c>
    </row>
    <row r="1297" spans="1:2" x14ac:dyDescent="0.35">
      <c r="A1297" s="118">
        <v>44166</v>
      </c>
      <c r="B1297" s="119">
        <v>18591.25</v>
      </c>
    </row>
    <row r="1298" spans="1:2" x14ac:dyDescent="0.35">
      <c r="A1298" s="118">
        <v>44162</v>
      </c>
      <c r="B1298" s="119">
        <v>18392.54</v>
      </c>
    </row>
    <row r="1299" spans="1:2" x14ac:dyDescent="0.35">
      <c r="A1299" s="118">
        <v>44161</v>
      </c>
      <c r="B1299" s="119">
        <v>18418.16</v>
      </c>
    </row>
    <row r="1300" spans="1:2" x14ac:dyDescent="0.35">
      <c r="A1300" s="118">
        <v>44160</v>
      </c>
      <c r="B1300" s="119">
        <v>18235.759999999998</v>
      </c>
    </row>
    <row r="1301" spans="1:2" x14ac:dyDescent="0.35">
      <c r="A1301" s="118">
        <v>44159</v>
      </c>
      <c r="B1301" s="119">
        <v>18514.82</v>
      </c>
    </row>
    <row r="1302" spans="1:2" x14ac:dyDescent="0.35">
      <c r="A1302" s="118">
        <v>44158</v>
      </c>
      <c r="B1302" s="119">
        <v>18332.330000000002</v>
      </c>
    </row>
    <row r="1303" spans="1:2" x14ac:dyDescent="0.35">
      <c r="A1303" s="118">
        <v>44155</v>
      </c>
      <c r="B1303" s="119">
        <v>18236.68</v>
      </c>
    </row>
    <row r="1304" spans="1:2" x14ac:dyDescent="0.35">
      <c r="A1304" s="118">
        <v>44154</v>
      </c>
      <c r="B1304" s="119">
        <v>18112.830000000002</v>
      </c>
    </row>
    <row r="1305" spans="1:2" x14ac:dyDescent="0.35">
      <c r="A1305" s="118">
        <v>44153</v>
      </c>
      <c r="B1305" s="119">
        <v>18349.02</v>
      </c>
    </row>
    <row r="1306" spans="1:2" x14ac:dyDescent="0.35">
      <c r="A1306" s="118">
        <v>44152</v>
      </c>
      <c r="B1306" s="119">
        <v>18258.23</v>
      </c>
    </row>
    <row r="1307" spans="1:2" x14ac:dyDescent="0.35">
      <c r="A1307" s="118">
        <v>44149</v>
      </c>
      <c r="B1307" s="119">
        <v>18124.93</v>
      </c>
    </row>
    <row r="1308" spans="1:2" x14ac:dyDescent="0.35">
      <c r="A1308" s="118">
        <v>44148</v>
      </c>
      <c r="B1308" s="119">
        <v>18039.439999999999</v>
      </c>
    </row>
    <row r="1309" spans="1:2" x14ac:dyDescent="0.35">
      <c r="A1309" s="118">
        <v>44147</v>
      </c>
      <c r="B1309" s="119">
        <v>17998.11</v>
      </c>
    </row>
    <row r="1310" spans="1:2" x14ac:dyDescent="0.35">
      <c r="A1310" s="118">
        <v>44146</v>
      </c>
      <c r="B1310" s="119">
        <v>18080.84</v>
      </c>
    </row>
    <row r="1311" spans="1:2" x14ac:dyDescent="0.35">
      <c r="A1311" s="118">
        <v>44145</v>
      </c>
      <c r="B1311" s="119">
        <v>17913.400000000001</v>
      </c>
    </row>
    <row r="1312" spans="1:2" x14ac:dyDescent="0.35">
      <c r="A1312" s="118">
        <v>44144</v>
      </c>
      <c r="B1312" s="119">
        <v>17672.25</v>
      </c>
    </row>
    <row r="1313" spans="1:2" x14ac:dyDescent="0.35">
      <c r="A1313" s="118">
        <v>44141</v>
      </c>
      <c r="B1313" s="119">
        <v>17392.14</v>
      </c>
    </row>
    <row r="1314" spans="1:2" x14ac:dyDescent="0.35">
      <c r="A1314" s="118">
        <v>44140</v>
      </c>
      <c r="B1314" s="119">
        <v>17189.03</v>
      </c>
    </row>
    <row r="1315" spans="1:2" x14ac:dyDescent="0.35">
      <c r="A1315" s="118">
        <v>44139</v>
      </c>
      <c r="B1315" s="119">
        <v>16888.650000000001</v>
      </c>
    </row>
    <row r="1316" spans="1:2" x14ac:dyDescent="0.35">
      <c r="A1316" s="118">
        <v>44138</v>
      </c>
      <c r="B1316" s="119">
        <v>16746.75</v>
      </c>
    </row>
    <row r="1317" spans="1:2" x14ac:dyDescent="0.35">
      <c r="A1317" s="118">
        <v>44137</v>
      </c>
      <c r="B1317" s="119">
        <v>16542.080000000002</v>
      </c>
    </row>
    <row r="1318" spans="1:2" x14ac:dyDescent="0.35">
      <c r="A1318" s="118">
        <v>44134</v>
      </c>
      <c r="B1318" s="119">
        <v>16504.16</v>
      </c>
    </row>
    <row r="1319" spans="1:2" x14ac:dyDescent="0.35">
      <c r="A1319" s="118">
        <v>44133</v>
      </c>
      <c r="B1319" s="119">
        <v>16544.45</v>
      </c>
    </row>
    <row r="1320" spans="1:2" x14ac:dyDescent="0.35">
      <c r="A1320" s="118">
        <v>44132</v>
      </c>
      <c r="B1320" s="119">
        <v>16623.13</v>
      </c>
    </row>
    <row r="1321" spans="1:2" x14ac:dyDescent="0.35">
      <c r="A1321" s="118">
        <v>44131</v>
      </c>
      <c r="B1321" s="119">
        <v>16844.96</v>
      </c>
    </row>
    <row r="1322" spans="1:2" x14ac:dyDescent="0.35">
      <c r="A1322" s="118">
        <v>44130</v>
      </c>
      <c r="B1322" s="119">
        <v>16672.62</v>
      </c>
    </row>
    <row r="1323" spans="1:2" x14ac:dyDescent="0.35">
      <c r="A1323" s="118">
        <v>44127</v>
      </c>
      <c r="B1323" s="119">
        <v>16902.96</v>
      </c>
    </row>
    <row r="1324" spans="1:2" x14ac:dyDescent="0.35">
      <c r="A1324" s="118">
        <v>44126</v>
      </c>
      <c r="B1324" s="119">
        <v>16840.52</v>
      </c>
    </row>
    <row r="1325" spans="1:2" x14ac:dyDescent="0.35">
      <c r="A1325" s="118">
        <v>44125</v>
      </c>
      <c r="B1325" s="119">
        <v>16897.43</v>
      </c>
    </row>
    <row r="1326" spans="1:2" x14ac:dyDescent="0.35">
      <c r="A1326" s="118">
        <v>44124</v>
      </c>
      <c r="B1326" s="119">
        <v>16839.599999999999</v>
      </c>
    </row>
    <row r="1327" spans="1:2" x14ac:dyDescent="0.35">
      <c r="A1327" s="118">
        <v>44123</v>
      </c>
      <c r="B1327" s="119">
        <v>16805.97</v>
      </c>
    </row>
    <row r="1328" spans="1:2" x14ac:dyDescent="0.35">
      <c r="A1328" s="118">
        <v>44120</v>
      </c>
      <c r="B1328" s="119">
        <v>16649.46</v>
      </c>
    </row>
    <row r="1329" spans="1:2" x14ac:dyDescent="0.35">
      <c r="A1329" s="118">
        <v>44119</v>
      </c>
      <c r="B1329" s="119">
        <v>16533.240000000002</v>
      </c>
    </row>
    <row r="1330" spans="1:2" x14ac:dyDescent="0.35">
      <c r="A1330" s="118">
        <v>44118</v>
      </c>
      <c r="B1330" s="119">
        <v>16944.73</v>
      </c>
    </row>
    <row r="1331" spans="1:2" x14ac:dyDescent="0.35">
      <c r="A1331" s="118">
        <v>44117</v>
      </c>
      <c r="B1331" s="119">
        <v>16888.87</v>
      </c>
    </row>
    <row r="1332" spans="1:2" x14ac:dyDescent="0.35">
      <c r="A1332" s="118">
        <v>44116</v>
      </c>
      <c r="B1332" s="119">
        <v>16883.84</v>
      </c>
    </row>
    <row r="1333" spans="1:2" x14ac:dyDescent="0.35">
      <c r="A1333" s="118">
        <v>44113</v>
      </c>
      <c r="B1333" s="119">
        <v>16860.11</v>
      </c>
    </row>
    <row r="1334" spans="1:2" x14ac:dyDescent="0.35">
      <c r="A1334" s="118">
        <v>44112</v>
      </c>
      <c r="B1334" s="119">
        <v>16747.48</v>
      </c>
    </row>
    <row r="1335" spans="1:2" x14ac:dyDescent="0.35">
      <c r="A1335" s="118">
        <v>44111</v>
      </c>
      <c r="B1335" s="119">
        <v>16611.96</v>
      </c>
    </row>
    <row r="1336" spans="1:2" x14ac:dyDescent="0.35">
      <c r="A1336" s="118">
        <v>44110</v>
      </c>
      <c r="B1336" s="119">
        <v>16503.77</v>
      </c>
    </row>
    <row r="1337" spans="1:2" x14ac:dyDescent="0.35">
      <c r="A1337" s="118">
        <v>44109</v>
      </c>
      <c r="B1337" s="119">
        <v>16278.72</v>
      </c>
    </row>
    <row r="1338" spans="1:2" x14ac:dyDescent="0.35">
      <c r="A1338" s="118">
        <v>44105</v>
      </c>
      <c r="B1338" s="119">
        <v>16156.44</v>
      </c>
    </row>
    <row r="1339" spans="1:2" x14ac:dyDescent="0.35">
      <c r="A1339" s="118">
        <v>44104</v>
      </c>
      <c r="B1339" s="119">
        <v>15916.72</v>
      </c>
    </row>
    <row r="1340" spans="1:2" x14ac:dyDescent="0.35">
      <c r="A1340" s="118">
        <v>44103</v>
      </c>
      <c r="B1340" s="119">
        <v>15881.16</v>
      </c>
    </row>
    <row r="1341" spans="1:2" x14ac:dyDescent="0.35">
      <c r="A1341" s="118">
        <v>44102</v>
      </c>
      <c r="B1341" s="119">
        <v>15888.44</v>
      </c>
    </row>
    <row r="1342" spans="1:2" x14ac:dyDescent="0.35">
      <c r="A1342" s="118">
        <v>44099</v>
      </c>
      <c r="B1342" s="119">
        <v>15637.53</v>
      </c>
    </row>
    <row r="1343" spans="1:2" x14ac:dyDescent="0.35">
      <c r="A1343" s="118">
        <v>44098</v>
      </c>
      <c r="B1343" s="119">
        <v>15291.25</v>
      </c>
    </row>
    <row r="1344" spans="1:2" x14ac:dyDescent="0.35">
      <c r="A1344" s="118">
        <v>44097</v>
      </c>
      <c r="B1344" s="119">
        <v>15752.97</v>
      </c>
    </row>
    <row r="1345" spans="1:2" x14ac:dyDescent="0.35">
      <c r="A1345" s="118">
        <v>44096</v>
      </c>
      <c r="B1345" s="119">
        <v>15783.87</v>
      </c>
    </row>
    <row r="1346" spans="1:2" x14ac:dyDescent="0.35">
      <c r="A1346" s="118">
        <v>44095</v>
      </c>
      <c r="B1346" s="119">
        <v>15920.99</v>
      </c>
    </row>
    <row r="1347" spans="1:2" x14ac:dyDescent="0.35">
      <c r="A1347" s="118">
        <v>44092</v>
      </c>
      <c r="B1347" s="119">
        <v>16281</v>
      </c>
    </row>
    <row r="1348" spans="1:2" x14ac:dyDescent="0.35">
      <c r="A1348" s="118">
        <v>44091</v>
      </c>
      <c r="B1348" s="119">
        <v>16296.78</v>
      </c>
    </row>
    <row r="1349" spans="1:2" x14ac:dyDescent="0.35">
      <c r="A1349" s="118">
        <v>44090</v>
      </c>
      <c r="B1349" s="119">
        <v>16421.95</v>
      </c>
    </row>
    <row r="1350" spans="1:2" x14ac:dyDescent="0.35">
      <c r="A1350" s="118">
        <v>44089</v>
      </c>
      <c r="B1350" s="119">
        <v>16304.84</v>
      </c>
    </row>
    <row r="1351" spans="1:2" x14ac:dyDescent="0.35">
      <c r="A1351" s="118">
        <v>44088</v>
      </c>
      <c r="B1351" s="119">
        <v>16189.14</v>
      </c>
    </row>
    <row r="1352" spans="1:2" x14ac:dyDescent="0.35">
      <c r="A1352" s="118">
        <v>44085</v>
      </c>
      <c r="B1352" s="119">
        <v>16222.92</v>
      </c>
    </row>
    <row r="1353" spans="1:2" x14ac:dyDescent="0.35">
      <c r="A1353" s="118">
        <v>44084</v>
      </c>
      <c r="B1353" s="119">
        <v>16201.44</v>
      </c>
    </row>
    <row r="1354" spans="1:2" x14ac:dyDescent="0.35">
      <c r="A1354" s="118">
        <v>44083</v>
      </c>
      <c r="B1354" s="119">
        <v>15958.99</v>
      </c>
    </row>
    <row r="1355" spans="1:2" x14ac:dyDescent="0.35">
      <c r="A1355" s="118">
        <v>44082</v>
      </c>
      <c r="B1355" s="119">
        <v>16014.67</v>
      </c>
    </row>
    <row r="1356" spans="1:2" x14ac:dyDescent="0.35">
      <c r="A1356" s="118">
        <v>44081</v>
      </c>
      <c r="B1356" s="119">
        <v>16068.06</v>
      </c>
    </row>
    <row r="1357" spans="1:2" x14ac:dyDescent="0.35">
      <c r="A1357" s="118">
        <v>44078</v>
      </c>
      <c r="B1357" s="119">
        <v>16038.07</v>
      </c>
    </row>
    <row r="1358" spans="1:2" x14ac:dyDescent="0.35">
      <c r="A1358" s="118">
        <v>44077</v>
      </c>
      <c r="B1358" s="119">
        <v>16311.99</v>
      </c>
    </row>
    <row r="1359" spans="1:2" x14ac:dyDescent="0.35">
      <c r="A1359" s="118">
        <v>44076</v>
      </c>
      <c r="B1359" s="119">
        <v>16322.17</v>
      </c>
    </row>
    <row r="1360" spans="1:2" x14ac:dyDescent="0.35">
      <c r="A1360" s="118">
        <v>44075</v>
      </c>
      <c r="B1360" s="119">
        <v>16227.14</v>
      </c>
    </row>
    <row r="1361" spans="1:2" x14ac:dyDescent="0.35">
      <c r="A1361" s="118">
        <v>44074</v>
      </c>
      <c r="B1361" s="119">
        <v>16110.07</v>
      </c>
    </row>
    <row r="1362" spans="1:2" x14ac:dyDescent="0.35">
      <c r="A1362" s="118">
        <v>44071</v>
      </c>
      <c r="B1362" s="119">
        <v>16478.009999999998</v>
      </c>
    </row>
    <row r="1363" spans="1:2" x14ac:dyDescent="0.35">
      <c r="A1363" s="118">
        <v>44070</v>
      </c>
      <c r="B1363" s="119">
        <v>16353.08</v>
      </c>
    </row>
    <row r="1364" spans="1:2" x14ac:dyDescent="0.35">
      <c r="A1364" s="118">
        <v>44069</v>
      </c>
      <c r="B1364" s="119">
        <v>16339.41</v>
      </c>
    </row>
    <row r="1365" spans="1:2" x14ac:dyDescent="0.35">
      <c r="A1365" s="118">
        <v>44068</v>
      </c>
      <c r="B1365" s="119">
        <v>16226.2</v>
      </c>
    </row>
    <row r="1366" spans="1:2" x14ac:dyDescent="0.35">
      <c r="A1366" s="118">
        <v>44067</v>
      </c>
      <c r="B1366" s="119">
        <v>16218.02</v>
      </c>
    </row>
    <row r="1367" spans="1:2" x14ac:dyDescent="0.35">
      <c r="A1367" s="118">
        <v>44064</v>
      </c>
      <c r="B1367" s="119">
        <v>16083.84</v>
      </c>
    </row>
    <row r="1368" spans="1:2" x14ac:dyDescent="0.35">
      <c r="A1368" s="118">
        <v>44063</v>
      </c>
      <c r="B1368" s="119">
        <v>15999.86</v>
      </c>
    </row>
    <row r="1369" spans="1:2" x14ac:dyDescent="0.35">
      <c r="A1369" s="118">
        <v>44062</v>
      </c>
      <c r="B1369" s="119">
        <v>16135.89</v>
      </c>
    </row>
    <row r="1370" spans="1:2" x14ac:dyDescent="0.35">
      <c r="A1370" s="118">
        <v>44061</v>
      </c>
      <c r="B1370" s="119">
        <v>16101.86</v>
      </c>
    </row>
    <row r="1371" spans="1:2" x14ac:dyDescent="0.35">
      <c r="A1371" s="118">
        <v>44060</v>
      </c>
      <c r="B1371" s="119">
        <v>15906.29</v>
      </c>
    </row>
    <row r="1372" spans="1:2" x14ac:dyDescent="0.35">
      <c r="A1372" s="118">
        <v>44057</v>
      </c>
      <c r="B1372" s="119">
        <v>15809.17</v>
      </c>
    </row>
    <row r="1373" spans="1:2" x14ac:dyDescent="0.35">
      <c r="A1373" s="118">
        <v>44056</v>
      </c>
      <c r="B1373" s="119">
        <v>15981.73</v>
      </c>
    </row>
    <row r="1374" spans="1:2" x14ac:dyDescent="0.35">
      <c r="A1374" s="118">
        <v>44055</v>
      </c>
      <c r="B1374" s="119">
        <v>15986.03</v>
      </c>
    </row>
    <row r="1375" spans="1:2" x14ac:dyDescent="0.35">
      <c r="A1375" s="118">
        <v>44054</v>
      </c>
      <c r="B1375" s="119">
        <v>16005.99</v>
      </c>
    </row>
    <row r="1376" spans="1:2" x14ac:dyDescent="0.35">
      <c r="A1376" s="118">
        <v>44053</v>
      </c>
      <c r="B1376" s="119">
        <v>15931.97</v>
      </c>
    </row>
    <row r="1377" spans="1:2" x14ac:dyDescent="0.35">
      <c r="A1377" s="118">
        <v>44050</v>
      </c>
      <c r="B1377" s="119">
        <v>15852.65</v>
      </c>
    </row>
    <row r="1378" spans="1:2" x14ac:dyDescent="0.35">
      <c r="A1378" s="118">
        <v>44049</v>
      </c>
      <c r="B1378" s="119">
        <v>15833.02</v>
      </c>
    </row>
    <row r="1379" spans="1:2" x14ac:dyDescent="0.35">
      <c r="A1379" s="118">
        <v>44048</v>
      </c>
      <c r="B1379" s="119">
        <v>15689.69</v>
      </c>
    </row>
    <row r="1380" spans="1:2" x14ac:dyDescent="0.35">
      <c r="A1380" s="118">
        <v>44047</v>
      </c>
      <c r="B1380" s="119">
        <v>15676.74</v>
      </c>
    </row>
    <row r="1381" spans="1:2" x14ac:dyDescent="0.35">
      <c r="A1381" s="118">
        <v>44046</v>
      </c>
      <c r="B1381" s="119">
        <v>15388.98</v>
      </c>
    </row>
    <row r="1382" spans="1:2" x14ac:dyDescent="0.35">
      <c r="A1382" s="118">
        <v>44043</v>
      </c>
      <c r="B1382" s="119">
        <v>15645.34</v>
      </c>
    </row>
    <row r="1383" spans="1:2" x14ac:dyDescent="0.35">
      <c r="A1383" s="118">
        <v>44042</v>
      </c>
      <c r="B1383" s="119">
        <v>15685.92</v>
      </c>
    </row>
    <row r="1384" spans="1:2" x14ac:dyDescent="0.35">
      <c r="A1384" s="118">
        <v>44041</v>
      </c>
      <c r="B1384" s="119">
        <v>15824.19</v>
      </c>
    </row>
    <row r="1385" spans="1:2" x14ac:dyDescent="0.35">
      <c r="A1385" s="118">
        <v>44040</v>
      </c>
      <c r="B1385" s="119">
        <v>15961.7</v>
      </c>
    </row>
    <row r="1386" spans="1:2" x14ac:dyDescent="0.35">
      <c r="A1386" s="118">
        <v>44039</v>
      </c>
      <c r="B1386" s="119">
        <v>15723.39</v>
      </c>
    </row>
    <row r="1387" spans="1:2" x14ac:dyDescent="0.35">
      <c r="A1387" s="118">
        <v>44036</v>
      </c>
      <c r="B1387" s="119">
        <v>15811.4</v>
      </c>
    </row>
    <row r="1388" spans="1:2" x14ac:dyDescent="0.35">
      <c r="A1388" s="118">
        <v>44035</v>
      </c>
      <c r="B1388" s="119">
        <v>15841.48</v>
      </c>
    </row>
    <row r="1389" spans="1:2" x14ac:dyDescent="0.35">
      <c r="A1389" s="118">
        <v>44034</v>
      </c>
      <c r="B1389" s="119">
        <v>15722.51</v>
      </c>
    </row>
    <row r="1390" spans="1:2" x14ac:dyDescent="0.35">
      <c r="A1390" s="118">
        <v>44033</v>
      </c>
      <c r="B1390" s="119">
        <v>15764.41</v>
      </c>
    </row>
    <row r="1391" spans="1:2" x14ac:dyDescent="0.35">
      <c r="A1391" s="118">
        <v>44032</v>
      </c>
      <c r="B1391" s="119">
        <v>15566.56</v>
      </c>
    </row>
    <row r="1392" spans="1:2" x14ac:dyDescent="0.35">
      <c r="A1392" s="118">
        <v>44029</v>
      </c>
      <c r="B1392" s="119">
        <v>15396.44</v>
      </c>
    </row>
    <row r="1393" spans="1:2" x14ac:dyDescent="0.35">
      <c r="A1393" s="118">
        <v>44028</v>
      </c>
      <c r="B1393" s="119">
        <v>15167.99</v>
      </c>
    </row>
    <row r="1394" spans="1:2" x14ac:dyDescent="0.35">
      <c r="A1394" s="118">
        <v>44027</v>
      </c>
      <c r="B1394" s="119">
        <v>14993.52</v>
      </c>
    </row>
    <row r="1395" spans="1:2" x14ac:dyDescent="0.35">
      <c r="A1395" s="118">
        <v>44026</v>
      </c>
      <c r="B1395" s="119">
        <v>14978.23</v>
      </c>
    </row>
    <row r="1396" spans="1:2" x14ac:dyDescent="0.35">
      <c r="A1396" s="118">
        <v>44025</v>
      </c>
      <c r="B1396" s="119">
        <v>15254.09</v>
      </c>
    </row>
    <row r="1397" spans="1:2" x14ac:dyDescent="0.35">
      <c r="A1397" s="118">
        <v>44022</v>
      </c>
      <c r="B1397" s="119">
        <v>15204.13</v>
      </c>
    </row>
    <row r="1398" spans="1:2" x14ac:dyDescent="0.35">
      <c r="A1398" s="118">
        <v>44021</v>
      </c>
      <c r="B1398" s="119">
        <v>15268.19</v>
      </c>
    </row>
    <row r="1399" spans="1:2" x14ac:dyDescent="0.35">
      <c r="A1399" s="118">
        <v>44020</v>
      </c>
      <c r="B1399" s="119">
        <v>15104.09</v>
      </c>
    </row>
    <row r="1400" spans="1:2" x14ac:dyDescent="0.35">
      <c r="A1400" s="118">
        <v>44019</v>
      </c>
      <c r="B1400" s="119">
        <v>15236.58</v>
      </c>
    </row>
    <row r="1401" spans="1:2" x14ac:dyDescent="0.35">
      <c r="A1401" s="118">
        <v>44018</v>
      </c>
      <c r="B1401" s="119">
        <v>15185.78</v>
      </c>
    </row>
    <row r="1402" spans="1:2" x14ac:dyDescent="0.35">
      <c r="A1402" s="118">
        <v>44015</v>
      </c>
      <c r="B1402" s="119">
        <v>14964.59</v>
      </c>
    </row>
    <row r="1403" spans="1:2" x14ac:dyDescent="0.35">
      <c r="A1403" s="118">
        <v>44014</v>
      </c>
      <c r="B1403" s="119">
        <v>14886.06</v>
      </c>
    </row>
    <row r="1404" spans="1:2" x14ac:dyDescent="0.35">
      <c r="A1404" s="118">
        <v>44013</v>
      </c>
      <c r="B1404" s="119">
        <v>14707.64</v>
      </c>
    </row>
    <row r="1405" spans="1:2" x14ac:dyDescent="0.35">
      <c r="A1405" s="118">
        <v>44012</v>
      </c>
      <c r="B1405" s="119">
        <v>14527.18</v>
      </c>
    </row>
    <row r="1406" spans="1:2" x14ac:dyDescent="0.35">
      <c r="A1406" s="118">
        <v>44011</v>
      </c>
      <c r="B1406" s="119">
        <v>14541.76</v>
      </c>
    </row>
    <row r="1407" spans="1:2" x14ac:dyDescent="0.35">
      <c r="A1407" s="118">
        <v>44008</v>
      </c>
      <c r="B1407" s="119">
        <v>14641.26</v>
      </c>
    </row>
    <row r="1408" spans="1:2" x14ac:dyDescent="0.35">
      <c r="A1408" s="118">
        <v>44007</v>
      </c>
      <c r="B1408" s="119">
        <v>14508.61</v>
      </c>
    </row>
    <row r="1409" spans="1:2" x14ac:dyDescent="0.35">
      <c r="A1409" s="118">
        <v>44006</v>
      </c>
      <c r="B1409" s="119">
        <v>14531.72</v>
      </c>
    </row>
    <row r="1410" spans="1:2" x14ac:dyDescent="0.35">
      <c r="A1410" s="118">
        <v>44005</v>
      </c>
      <c r="B1410" s="119">
        <v>14765.36</v>
      </c>
    </row>
    <row r="1411" spans="1:2" x14ac:dyDescent="0.35">
      <c r="A1411" s="118">
        <v>44004</v>
      </c>
      <c r="B1411" s="119">
        <v>14540.07</v>
      </c>
    </row>
    <row r="1412" spans="1:2" x14ac:dyDescent="0.35">
      <c r="A1412" s="118">
        <v>44001</v>
      </c>
      <c r="B1412" s="119">
        <v>14445.87</v>
      </c>
    </row>
    <row r="1413" spans="1:2" x14ac:dyDescent="0.35">
      <c r="A1413" s="118">
        <v>44000</v>
      </c>
      <c r="B1413" s="119">
        <v>14227.14</v>
      </c>
    </row>
    <row r="1414" spans="1:2" x14ac:dyDescent="0.35">
      <c r="A1414" s="118">
        <v>43999</v>
      </c>
      <c r="B1414" s="119">
        <v>13930.35</v>
      </c>
    </row>
    <row r="1415" spans="1:2" x14ac:dyDescent="0.35">
      <c r="A1415" s="118">
        <v>43998</v>
      </c>
      <c r="B1415" s="119">
        <v>13976.63</v>
      </c>
    </row>
    <row r="1416" spans="1:2" x14ac:dyDescent="0.35">
      <c r="A1416" s="118">
        <v>43997</v>
      </c>
      <c r="B1416" s="119">
        <v>13835.27</v>
      </c>
    </row>
    <row r="1417" spans="1:2" x14ac:dyDescent="0.35">
      <c r="A1417" s="118">
        <v>43994</v>
      </c>
      <c r="B1417" s="119">
        <v>14059.69</v>
      </c>
    </row>
    <row r="1418" spans="1:2" x14ac:dyDescent="0.35">
      <c r="A1418" s="118">
        <v>43993</v>
      </c>
      <c r="B1418" s="119">
        <v>13959.73</v>
      </c>
    </row>
    <row r="1419" spans="1:2" x14ac:dyDescent="0.35">
      <c r="A1419" s="118">
        <v>43992</v>
      </c>
      <c r="B1419" s="119">
        <v>14260.91</v>
      </c>
    </row>
    <row r="1420" spans="1:2" x14ac:dyDescent="0.35">
      <c r="A1420" s="118">
        <v>43991</v>
      </c>
      <c r="B1420" s="119">
        <v>14162.9</v>
      </c>
    </row>
    <row r="1421" spans="1:2" x14ac:dyDescent="0.35">
      <c r="A1421" s="118">
        <v>43990</v>
      </c>
      <c r="B1421" s="119">
        <v>14333.2</v>
      </c>
    </row>
    <row r="1422" spans="1:2" x14ac:dyDescent="0.35">
      <c r="A1422" s="118">
        <v>43987</v>
      </c>
      <c r="B1422" s="119">
        <v>14297.55</v>
      </c>
    </row>
    <row r="1423" spans="1:2" x14ac:dyDescent="0.35">
      <c r="A1423" s="118">
        <v>43986</v>
      </c>
      <c r="B1423" s="119">
        <v>14138.19</v>
      </c>
    </row>
    <row r="1424" spans="1:2" x14ac:dyDescent="0.35">
      <c r="A1424" s="118">
        <v>43985</v>
      </c>
      <c r="B1424" s="119">
        <v>14183.95</v>
      </c>
    </row>
    <row r="1425" spans="1:2" x14ac:dyDescent="0.35">
      <c r="A1425" s="118">
        <v>43984</v>
      </c>
      <c r="B1425" s="119">
        <v>14065.56</v>
      </c>
    </row>
    <row r="1426" spans="1:2" x14ac:dyDescent="0.35">
      <c r="A1426" s="118">
        <v>43983</v>
      </c>
      <c r="B1426" s="119">
        <v>13850</v>
      </c>
    </row>
    <row r="1427" spans="1:2" x14ac:dyDescent="0.35">
      <c r="A1427" s="118">
        <v>43980</v>
      </c>
      <c r="B1427" s="119">
        <v>13503.45</v>
      </c>
    </row>
    <row r="1428" spans="1:2" x14ac:dyDescent="0.35">
      <c r="A1428" s="118">
        <v>43979</v>
      </c>
      <c r="B1428" s="119">
        <v>13364.65</v>
      </c>
    </row>
    <row r="1429" spans="1:2" x14ac:dyDescent="0.35">
      <c r="A1429" s="118">
        <v>43978</v>
      </c>
      <c r="B1429" s="119">
        <v>13117.99</v>
      </c>
    </row>
    <row r="1430" spans="1:2" x14ac:dyDescent="0.35">
      <c r="A1430" s="118">
        <v>43977</v>
      </c>
      <c r="B1430" s="119">
        <v>12715.39</v>
      </c>
    </row>
    <row r="1431" spans="1:2" x14ac:dyDescent="0.35">
      <c r="A1431" s="118">
        <v>43973</v>
      </c>
      <c r="B1431" s="119">
        <v>12729.74</v>
      </c>
    </row>
    <row r="1432" spans="1:2" x14ac:dyDescent="0.35">
      <c r="A1432" s="118">
        <v>43972</v>
      </c>
      <c r="B1432" s="119">
        <v>12824.12</v>
      </c>
    </row>
    <row r="1433" spans="1:2" x14ac:dyDescent="0.35">
      <c r="A1433" s="118">
        <v>43971</v>
      </c>
      <c r="B1433" s="119">
        <v>12768.2</v>
      </c>
    </row>
    <row r="1434" spans="1:2" x14ac:dyDescent="0.35">
      <c r="A1434" s="118">
        <v>43970</v>
      </c>
      <c r="B1434" s="119">
        <v>12504.22</v>
      </c>
    </row>
    <row r="1435" spans="1:2" x14ac:dyDescent="0.35">
      <c r="A1435" s="118">
        <v>43969</v>
      </c>
      <c r="B1435" s="119">
        <v>12425.57</v>
      </c>
    </row>
    <row r="1436" spans="1:2" x14ac:dyDescent="0.35">
      <c r="A1436" s="118">
        <v>43966</v>
      </c>
      <c r="B1436" s="119">
        <v>12867.16</v>
      </c>
    </row>
    <row r="1437" spans="1:2" x14ac:dyDescent="0.35">
      <c r="A1437" s="118">
        <v>43965</v>
      </c>
      <c r="B1437" s="119">
        <v>12875.51</v>
      </c>
    </row>
    <row r="1438" spans="1:2" x14ac:dyDescent="0.35">
      <c r="A1438" s="118">
        <v>43964</v>
      </c>
      <c r="B1438" s="119">
        <v>13214.58</v>
      </c>
    </row>
    <row r="1439" spans="1:2" x14ac:dyDescent="0.35">
      <c r="A1439" s="118">
        <v>43963</v>
      </c>
      <c r="B1439" s="119">
        <v>12951.29</v>
      </c>
    </row>
    <row r="1440" spans="1:2" x14ac:dyDescent="0.35">
      <c r="A1440" s="118">
        <v>43962</v>
      </c>
      <c r="B1440" s="119">
        <v>13011.35</v>
      </c>
    </row>
    <row r="1441" spans="1:2" x14ac:dyDescent="0.35">
      <c r="A1441" s="118">
        <v>43959</v>
      </c>
      <c r="B1441" s="119">
        <v>13028.62</v>
      </c>
    </row>
    <row r="1442" spans="1:2" x14ac:dyDescent="0.35">
      <c r="A1442" s="118">
        <v>43958</v>
      </c>
      <c r="B1442" s="119">
        <v>12954.81</v>
      </c>
    </row>
    <row r="1443" spans="1:2" x14ac:dyDescent="0.35">
      <c r="A1443" s="118">
        <v>43957</v>
      </c>
      <c r="B1443" s="119">
        <v>13055.99</v>
      </c>
    </row>
    <row r="1444" spans="1:2" x14ac:dyDescent="0.35">
      <c r="A1444" s="118">
        <v>43956</v>
      </c>
      <c r="B1444" s="119">
        <v>12963.99</v>
      </c>
    </row>
    <row r="1445" spans="1:2" x14ac:dyDescent="0.35">
      <c r="A1445" s="118">
        <v>43955</v>
      </c>
      <c r="B1445" s="119">
        <v>13086.63</v>
      </c>
    </row>
    <row r="1446" spans="1:2" x14ac:dyDescent="0.35">
      <c r="A1446" s="118">
        <v>43951</v>
      </c>
      <c r="B1446" s="119">
        <v>13884.18</v>
      </c>
    </row>
    <row r="1447" spans="1:2" x14ac:dyDescent="0.35">
      <c r="A1447" s="118">
        <v>43950</v>
      </c>
      <c r="B1447" s="119">
        <v>13452.51</v>
      </c>
    </row>
    <row r="1448" spans="1:2" x14ac:dyDescent="0.35">
      <c r="A1448" s="118">
        <v>43949</v>
      </c>
      <c r="B1448" s="119">
        <v>13208.29</v>
      </c>
    </row>
    <row r="1449" spans="1:2" x14ac:dyDescent="0.35">
      <c r="A1449" s="118">
        <v>43948</v>
      </c>
      <c r="B1449" s="119">
        <v>13069.49</v>
      </c>
    </row>
    <row r="1450" spans="1:2" x14ac:dyDescent="0.35">
      <c r="A1450" s="118">
        <v>43945</v>
      </c>
      <c r="B1450" s="119">
        <v>12889.39</v>
      </c>
    </row>
    <row r="1451" spans="1:2" x14ac:dyDescent="0.35">
      <c r="A1451" s="118">
        <v>43944</v>
      </c>
      <c r="B1451" s="119">
        <v>13113.97</v>
      </c>
    </row>
    <row r="1452" spans="1:2" x14ac:dyDescent="0.35">
      <c r="A1452" s="118">
        <v>43943</v>
      </c>
      <c r="B1452" s="119">
        <v>12935.73</v>
      </c>
    </row>
    <row r="1453" spans="1:2" x14ac:dyDescent="0.35">
      <c r="A1453" s="118">
        <v>43942</v>
      </c>
      <c r="B1453" s="119">
        <v>12645.91</v>
      </c>
    </row>
    <row r="1454" spans="1:2" x14ac:dyDescent="0.35">
      <c r="A1454" s="118">
        <v>43941</v>
      </c>
      <c r="B1454" s="119">
        <v>13040.65</v>
      </c>
    </row>
    <row r="1455" spans="1:2" x14ac:dyDescent="0.35">
      <c r="A1455" s="118">
        <v>43938</v>
      </c>
      <c r="B1455" s="119">
        <v>13047.57</v>
      </c>
    </row>
    <row r="1456" spans="1:2" x14ac:dyDescent="0.35">
      <c r="A1456" s="118">
        <v>43937</v>
      </c>
      <c r="B1456" s="119">
        <v>12661.83</v>
      </c>
    </row>
    <row r="1457" spans="1:2" x14ac:dyDescent="0.35">
      <c r="A1457" s="118">
        <v>43936</v>
      </c>
      <c r="B1457" s="119">
        <v>12566.85</v>
      </c>
    </row>
    <row r="1458" spans="1:2" x14ac:dyDescent="0.35">
      <c r="A1458" s="118">
        <v>43934</v>
      </c>
      <c r="B1458" s="119">
        <v>12663.31</v>
      </c>
    </row>
    <row r="1459" spans="1:2" x14ac:dyDescent="0.35">
      <c r="A1459" s="118">
        <v>43930</v>
      </c>
      <c r="B1459" s="119">
        <v>12829.57</v>
      </c>
    </row>
    <row r="1460" spans="1:2" x14ac:dyDescent="0.35">
      <c r="A1460" s="118">
        <v>43929</v>
      </c>
      <c r="B1460" s="119">
        <v>12318.25</v>
      </c>
    </row>
    <row r="1461" spans="1:2" x14ac:dyDescent="0.35">
      <c r="A1461" s="118">
        <v>43928</v>
      </c>
      <c r="B1461" s="119">
        <v>12379.42</v>
      </c>
    </row>
    <row r="1462" spans="1:2" x14ac:dyDescent="0.35">
      <c r="A1462" s="118">
        <v>43924</v>
      </c>
      <c r="B1462" s="119">
        <v>11382.02</v>
      </c>
    </row>
    <row r="1463" spans="1:2" x14ac:dyDescent="0.35">
      <c r="A1463" s="118">
        <v>43922</v>
      </c>
      <c r="B1463" s="119">
        <v>11621.35</v>
      </c>
    </row>
    <row r="1464" spans="1:2" x14ac:dyDescent="0.35">
      <c r="A1464" s="118">
        <v>43921</v>
      </c>
      <c r="B1464" s="119">
        <v>12105.66</v>
      </c>
    </row>
    <row r="1465" spans="1:2" x14ac:dyDescent="0.35">
      <c r="A1465" s="118">
        <v>43920</v>
      </c>
      <c r="B1465" s="119">
        <v>11659.76</v>
      </c>
    </row>
    <row r="1466" spans="1:2" x14ac:dyDescent="0.35">
      <c r="A1466" s="118">
        <v>43917</v>
      </c>
      <c r="B1466" s="119">
        <v>12193.62</v>
      </c>
    </row>
    <row r="1467" spans="1:2" x14ac:dyDescent="0.35">
      <c r="A1467" s="118">
        <v>43916</v>
      </c>
      <c r="B1467" s="119">
        <v>12167.15</v>
      </c>
    </row>
    <row r="1468" spans="1:2" x14ac:dyDescent="0.35">
      <c r="A1468" s="118">
        <v>43915</v>
      </c>
      <c r="B1468" s="119">
        <v>11710.71</v>
      </c>
    </row>
    <row r="1469" spans="1:2" x14ac:dyDescent="0.35">
      <c r="A1469" s="118">
        <v>43914</v>
      </c>
      <c r="B1469" s="119">
        <v>10983.15</v>
      </c>
    </row>
    <row r="1470" spans="1:2" x14ac:dyDescent="0.35">
      <c r="A1470" s="118">
        <v>43913</v>
      </c>
      <c r="B1470" s="119">
        <v>10710.41</v>
      </c>
    </row>
    <row r="1471" spans="1:2" x14ac:dyDescent="0.35">
      <c r="A1471" s="118">
        <v>43910</v>
      </c>
      <c r="B1471" s="119">
        <v>12298.74</v>
      </c>
    </row>
    <row r="1472" spans="1:2" x14ac:dyDescent="0.35">
      <c r="A1472" s="118">
        <v>43909</v>
      </c>
      <c r="B1472" s="119">
        <v>11620.92</v>
      </c>
    </row>
    <row r="1473" spans="1:2" x14ac:dyDescent="0.35">
      <c r="A1473" s="118">
        <v>43908</v>
      </c>
      <c r="B1473" s="119">
        <v>11904.02</v>
      </c>
    </row>
    <row r="1474" spans="1:2" x14ac:dyDescent="0.35">
      <c r="A1474" s="118">
        <v>43907</v>
      </c>
      <c r="B1474" s="119">
        <v>12604.41</v>
      </c>
    </row>
    <row r="1475" spans="1:2" x14ac:dyDescent="0.35">
      <c r="A1475" s="118">
        <v>43906</v>
      </c>
      <c r="B1475" s="119">
        <v>12928.18</v>
      </c>
    </row>
    <row r="1476" spans="1:2" x14ac:dyDescent="0.35">
      <c r="A1476" s="118">
        <v>43903</v>
      </c>
      <c r="B1476" s="119">
        <v>13987.31</v>
      </c>
    </row>
    <row r="1477" spans="1:2" x14ac:dyDescent="0.35">
      <c r="A1477" s="118">
        <v>43902</v>
      </c>
      <c r="B1477" s="119">
        <v>13474.38</v>
      </c>
    </row>
    <row r="1478" spans="1:2" x14ac:dyDescent="0.35">
      <c r="A1478" s="118">
        <v>43901</v>
      </c>
      <c r="B1478" s="119">
        <v>14694.31</v>
      </c>
    </row>
    <row r="1479" spans="1:2" x14ac:dyDescent="0.35">
      <c r="A1479" s="118">
        <v>43899</v>
      </c>
      <c r="B1479" s="119">
        <v>14684.56</v>
      </c>
    </row>
    <row r="1480" spans="1:2" x14ac:dyDescent="0.35">
      <c r="A1480" s="118">
        <v>43896</v>
      </c>
      <c r="B1480" s="119">
        <v>15440.48</v>
      </c>
    </row>
    <row r="1481" spans="1:2" x14ac:dyDescent="0.35">
      <c r="A1481" s="118">
        <v>43895</v>
      </c>
      <c r="B1481" s="119">
        <v>15833.21</v>
      </c>
    </row>
    <row r="1482" spans="1:2" x14ac:dyDescent="0.35">
      <c r="A1482" s="118">
        <v>43894</v>
      </c>
      <c r="B1482" s="119">
        <v>15805.53</v>
      </c>
    </row>
    <row r="1483" spans="1:2" x14ac:dyDescent="0.35">
      <c r="A1483" s="118">
        <v>43893</v>
      </c>
      <c r="B1483" s="119">
        <v>15878.98</v>
      </c>
    </row>
    <row r="1484" spans="1:2" x14ac:dyDescent="0.35">
      <c r="A1484" s="118">
        <v>43892</v>
      </c>
      <c r="B1484" s="119">
        <v>15632.14</v>
      </c>
    </row>
    <row r="1485" spans="1:2" x14ac:dyDescent="0.35">
      <c r="A1485" s="118">
        <v>43889</v>
      </c>
      <c r="B1485" s="119">
        <v>15726.92</v>
      </c>
    </row>
    <row r="1486" spans="1:2" x14ac:dyDescent="0.35">
      <c r="A1486" s="118">
        <v>43888</v>
      </c>
      <c r="B1486" s="119">
        <v>16332.81</v>
      </c>
    </row>
    <row r="1487" spans="1:2" x14ac:dyDescent="0.35">
      <c r="A1487" s="118">
        <v>43887</v>
      </c>
      <c r="B1487" s="119">
        <v>16396.23</v>
      </c>
    </row>
    <row r="1488" spans="1:2" x14ac:dyDescent="0.35">
      <c r="A1488" s="118">
        <v>43886</v>
      </c>
      <c r="B1488" s="119">
        <v>16563.91</v>
      </c>
    </row>
    <row r="1489" spans="1:2" x14ac:dyDescent="0.35">
      <c r="A1489" s="118">
        <v>43885</v>
      </c>
      <c r="B1489" s="119">
        <v>16608.12</v>
      </c>
    </row>
    <row r="1490" spans="1:2" x14ac:dyDescent="0.35">
      <c r="A1490" s="118">
        <v>43881</v>
      </c>
      <c r="B1490" s="119">
        <v>16961.16</v>
      </c>
    </row>
    <row r="1491" spans="1:2" x14ac:dyDescent="0.35">
      <c r="A1491" s="118">
        <v>43880</v>
      </c>
      <c r="B1491" s="119">
        <v>17024.41</v>
      </c>
    </row>
    <row r="1492" spans="1:2" x14ac:dyDescent="0.35">
      <c r="A1492" s="118">
        <v>43879</v>
      </c>
      <c r="B1492" s="119">
        <v>16837.080000000002</v>
      </c>
    </row>
    <row r="1493" spans="1:2" x14ac:dyDescent="0.35">
      <c r="A1493" s="118">
        <v>43878</v>
      </c>
      <c r="B1493" s="119">
        <v>16911.919999999998</v>
      </c>
    </row>
    <row r="1494" spans="1:2" x14ac:dyDescent="0.35">
      <c r="A1494" s="118">
        <v>43875</v>
      </c>
      <c r="B1494" s="119">
        <v>17002.89</v>
      </c>
    </row>
    <row r="1495" spans="1:2" x14ac:dyDescent="0.35">
      <c r="A1495" s="118">
        <v>43874</v>
      </c>
      <c r="B1495" s="119">
        <v>17088.84</v>
      </c>
    </row>
    <row r="1496" spans="1:2" x14ac:dyDescent="0.35">
      <c r="A1496" s="118">
        <v>43873</v>
      </c>
      <c r="B1496" s="119">
        <v>17126.07</v>
      </c>
    </row>
    <row r="1497" spans="1:2" x14ac:dyDescent="0.35">
      <c r="A1497" s="118">
        <v>43872</v>
      </c>
      <c r="B1497" s="119">
        <v>16995.099999999999</v>
      </c>
    </row>
    <row r="1498" spans="1:2" x14ac:dyDescent="0.35">
      <c r="A1498" s="118">
        <v>43871</v>
      </c>
      <c r="B1498" s="119">
        <v>16887.86</v>
      </c>
    </row>
    <row r="1499" spans="1:2" x14ac:dyDescent="0.35">
      <c r="A1499" s="118">
        <v>43868</v>
      </c>
      <c r="B1499" s="119">
        <v>16981.75</v>
      </c>
    </row>
    <row r="1500" spans="1:2" x14ac:dyDescent="0.35">
      <c r="A1500" s="118">
        <v>43867</v>
      </c>
      <c r="B1500" s="119">
        <v>17037.28</v>
      </c>
    </row>
    <row r="1501" spans="1:2" x14ac:dyDescent="0.35">
      <c r="A1501" s="118">
        <v>43866</v>
      </c>
      <c r="B1501" s="119">
        <v>16968.830000000002</v>
      </c>
    </row>
    <row r="1502" spans="1:2" x14ac:dyDescent="0.35">
      <c r="A1502" s="118">
        <v>43865</v>
      </c>
      <c r="B1502" s="119">
        <v>16815.12</v>
      </c>
    </row>
    <row r="1503" spans="1:2" x14ac:dyDescent="0.35">
      <c r="A1503" s="118">
        <v>43864</v>
      </c>
      <c r="B1503" s="119">
        <v>16433.650000000001</v>
      </c>
    </row>
    <row r="1504" spans="1:2" x14ac:dyDescent="0.35">
      <c r="A1504" s="118">
        <v>43862</v>
      </c>
      <c r="B1504" s="119">
        <v>16369</v>
      </c>
    </row>
    <row r="1505" spans="1:2" x14ac:dyDescent="0.35">
      <c r="A1505" s="118">
        <v>43861</v>
      </c>
      <c r="B1505" s="119">
        <v>16790.45</v>
      </c>
    </row>
    <row r="1506" spans="1:2" x14ac:dyDescent="0.35">
      <c r="A1506" s="118">
        <v>43860</v>
      </c>
      <c r="B1506" s="119">
        <v>16893.91</v>
      </c>
    </row>
    <row r="1507" spans="1:2" x14ac:dyDescent="0.35">
      <c r="A1507" s="118">
        <v>43859</v>
      </c>
      <c r="B1507" s="119">
        <v>17025.46</v>
      </c>
    </row>
    <row r="1508" spans="1:2" x14ac:dyDescent="0.35">
      <c r="A1508" s="118">
        <v>43858</v>
      </c>
      <c r="B1508" s="119">
        <v>16922.009999999998</v>
      </c>
    </row>
    <row r="1509" spans="1:2" x14ac:dyDescent="0.35">
      <c r="A1509" s="118">
        <v>43857</v>
      </c>
      <c r="B1509" s="119">
        <v>17010.7</v>
      </c>
    </row>
    <row r="1510" spans="1:2" x14ac:dyDescent="0.35">
      <c r="A1510" s="118">
        <v>43854</v>
      </c>
      <c r="B1510" s="119">
        <v>17192.150000000001</v>
      </c>
    </row>
    <row r="1511" spans="1:2" x14ac:dyDescent="0.35">
      <c r="A1511" s="118">
        <v>43853</v>
      </c>
      <c r="B1511" s="119">
        <v>17095.61</v>
      </c>
    </row>
    <row r="1512" spans="1:2" x14ac:dyDescent="0.35">
      <c r="A1512" s="118">
        <v>43852</v>
      </c>
      <c r="B1512" s="119">
        <v>16990.68</v>
      </c>
    </row>
    <row r="1513" spans="1:2" x14ac:dyDescent="0.35">
      <c r="A1513" s="118">
        <v>43851</v>
      </c>
      <c r="B1513" s="119">
        <v>17079.07</v>
      </c>
    </row>
    <row r="1514" spans="1:2" x14ac:dyDescent="0.35">
      <c r="A1514" s="118">
        <v>43850</v>
      </c>
      <c r="B1514" s="119">
        <v>17155.830000000002</v>
      </c>
    </row>
    <row r="1515" spans="1:2" x14ac:dyDescent="0.35">
      <c r="A1515" s="118">
        <v>43847</v>
      </c>
      <c r="B1515" s="119">
        <v>17335.2</v>
      </c>
    </row>
    <row r="1516" spans="1:2" x14ac:dyDescent="0.35">
      <c r="A1516" s="118">
        <v>43846</v>
      </c>
      <c r="B1516" s="119">
        <v>17339.57</v>
      </c>
    </row>
    <row r="1517" spans="1:2" x14ac:dyDescent="0.35">
      <c r="A1517" s="118">
        <v>43845</v>
      </c>
      <c r="B1517" s="119">
        <v>17322.5</v>
      </c>
    </row>
    <row r="1518" spans="1:2" x14ac:dyDescent="0.35">
      <c r="A1518" s="118">
        <v>43844</v>
      </c>
      <c r="B1518" s="119">
        <v>17349.12</v>
      </c>
    </row>
    <row r="1519" spans="1:2" x14ac:dyDescent="0.35">
      <c r="A1519" s="118">
        <v>43843</v>
      </c>
      <c r="B1519" s="119">
        <v>17303.2</v>
      </c>
    </row>
    <row r="1520" spans="1:2" x14ac:dyDescent="0.35">
      <c r="A1520" s="118">
        <v>43840</v>
      </c>
      <c r="B1520" s="119">
        <v>17201.080000000002</v>
      </c>
    </row>
    <row r="1521" spans="1:2" x14ac:dyDescent="0.35">
      <c r="A1521" s="118">
        <v>43839</v>
      </c>
      <c r="B1521" s="119">
        <v>17143.650000000001</v>
      </c>
    </row>
    <row r="1522" spans="1:2" x14ac:dyDescent="0.35">
      <c r="A1522" s="118">
        <v>43838</v>
      </c>
      <c r="B1522" s="119">
        <v>16876.240000000002</v>
      </c>
    </row>
    <row r="1523" spans="1:2" x14ac:dyDescent="0.35">
      <c r="A1523" s="118">
        <v>43837</v>
      </c>
      <c r="B1523" s="119">
        <v>16915.03</v>
      </c>
    </row>
    <row r="1524" spans="1:2" x14ac:dyDescent="0.35">
      <c r="A1524" s="118">
        <v>43836</v>
      </c>
      <c r="B1524" s="119">
        <v>16830.93</v>
      </c>
    </row>
    <row r="1525" spans="1:2" x14ac:dyDescent="0.35">
      <c r="A1525" s="118">
        <v>43833</v>
      </c>
      <c r="B1525" s="119">
        <v>17158.75</v>
      </c>
    </row>
    <row r="1526" spans="1:2" x14ac:dyDescent="0.35">
      <c r="A1526" s="118">
        <v>43832</v>
      </c>
      <c r="B1526" s="119">
        <v>17236.7</v>
      </c>
    </row>
    <row r="1527" spans="1:2" x14ac:dyDescent="0.35">
      <c r="A1527" s="118">
        <v>43831</v>
      </c>
      <c r="B1527" s="119">
        <v>17096.830000000002</v>
      </c>
    </row>
    <row r="1528" spans="1:2" x14ac:dyDescent="0.35">
      <c r="A1528" s="118">
        <v>43830</v>
      </c>
      <c r="B1528" s="119">
        <v>17077.060000000001</v>
      </c>
    </row>
    <row r="1529" spans="1:2" x14ac:dyDescent="0.35">
      <c r="A1529" s="118">
        <v>43829</v>
      </c>
      <c r="B1529" s="119">
        <v>17199.73</v>
      </c>
    </row>
    <row r="1530" spans="1:2" x14ac:dyDescent="0.35">
      <c r="A1530" s="118">
        <v>43826</v>
      </c>
      <c r="B1530" s="119">
        <v>17185.66</v>
      </c>
    </row>
    <row r="1531" spans="1:2" x14ac:dyDescent="0.35">
      <c r="A1531" s="118">
        <v>43825</v>
      </c>
      <c r="B1531" s="119">
        <v>17018.259999999998</v>
      </c>
    </row>
    <row r="1532" spans="1:2" x14ac:dyDescent="0.35">
      <c r="A1532" s="118">
        <v>43823</v>
      </c>
      <c r="B1532" s="119">
        <v>17141.8</v>
      </c>
    </row>
    <row r="1533" spans="1:2" x14ac:dyDescent="0.35">
      <c r="A1533" s="118">
        <v>43822</v>
      </c>
      <c r="B1533" s="119">
        <v>17209.400000000001</v>
      </c>
    </row>
    <row r="1534" spans="1:2" x14ac:dyDescent="0.35">
      <c r="A1534" s="118">
        <v>43819</v>
      </c>
      <c r="B1534" s="119">
        <v>17222.14</v>
      </c>
    </row>
    <row r="1535" spans="1:2" x14ac:dyDescent="0.35">
      <c r="A1535" s="118">
        <v>43818</v>
      </c>
      <c r="B1535" s="119">
        <v>17205.12</v>
      </c>
    </row>
    <row r="1536" spans="1:2" x14ac:dyDescent="0.35">
      <c r="A1536" s="118">
        <v>43817</v>
      </c>
      <c r="B1536" s="119">
        <v>17150.93</v>
      </c>
    </row>
    <row r="1537" spans="1:2" x14ac:dyDescent="0.35">
      <c r="A1537" s="118">
        <v>43816</v>
      </c>
      <c r="B1537" s="119">
        <v>17071.490000000002</v>
      </c>
    </row>
    <row r="1538" spans="1:2" x14ac:dyDescent="0.35">
      <c r="A1538" s="118">
        <v>43815</v>
      </c>
      <c r="B1538" s="119">
        <v>16915.650000000001</v>
      </c>
    </row>
    <row r="1539" spans="1:2" x14ac:dyDescent="0.35">
      <c r="A1539" s="118">
        <v>43812</v>
      </c>
      <c r="B1539" s="119">
        <v>16961.560000000001</v>
      </c>
    </row>
    <row r="1540" spans="1:2" x14ac:dyDescent="0.35">
      <c r="A1540" s="118">
        <v>43811</v>
      </c>
      <c r="B1540" s="119">
        <v>16800.36</v>
      </c>
    </row>
    <row r="1541" spans="1:2" x14ac:dyDescent="0.35">
      <c r="A1541" s="118">
        <v>43810</v>
      </c>
      <c r="B1541" s="119">
        <v>16713.79</v>
      </c>
    </row>
    <row r="1542" spans="1:2" x14ac:dyDescent="0.35">
      <c r="A1542" s="118">
        <v>43809</v>
      </c>
      <c r="B1542" s="119">
        <v>16638.939999999999</v>
      </c>
    </row>
    <row r="1543" spans="1:2" x14ac:dyDescent="0.35">
      <c r="A1543" s="118">
        <v>43808</v>
      </c>
      <c r="B1543" s="119">
        <v>16751.53</v>
      </c>
    </row>
    <row r="1544" spans="1:2" x14ac:dyDescent="0.35">
      <c r="A1544" s="118">
        <v>43805</v>
      </c>
      <c r="B1544" s="119">
        <v>16729.080000000002</v>
      </c>
    </row>
    <row r="1545" spans="1:2" x14ac:dyDescent="0.35">
      <c r="A1545" s="118">
        <v>43804</v>
      </c>
      <c r="B1545" s="119">
        <v>16865.04</v>
      </c>
    </row>
    <row r="1546" spans="1:2" x14ac:dyDescent="0.35">
      <c r="A1546" s="118">
        <v>43803</v>
      </c>
      <c r="B1546" s="119">
        <v>16899.88</v>
      </c>
    </row>
    <row r="1547" spans="1:2" x14ac:dyDescent="0.35">
      <c r="A1547" s="118">
        <v>43802</v>
      </c>
      <c r="B1547" s="119">
        <v>16831.11</v>
      </c>
    </row>
    <row r="1548" spans="1:2" x14ac:dyDescent="0.35">
      <c r="A1548" s="118">
        <v>43801</v>
      </c>
      <c r="B1548" s="119">
        <v>16906.88</v>
      </c>
    </row>
    <row r="1549" spans="1:2" x14ac:dyDescent="0.35">
      <c r="A1549" s="118">
        <v>43798</v>
      </c>
      <c r="B1549" s="119">
        <v>16917.89</v>
      </c>
    </row>
    <row r="1550" spans="1:2" x14ac:dyDescent="0.35">
      <c r="A1550" s="118">
        <v>43797</v>
      </c>
      <c r="B1550" s="119">
        <v>17051.310000000001</v>
      </c>
    </row>
    <row r="1551" spans="1:2" x14ac:dyDescent="0.35">
      <c r="A1551" s="118">
        <v>43796</v>
      </c>
      <c r="B1551" s="119">
        <v>16980.54</v>
      </c>
    </row>
    <row r="1552" spans="1:2" x14ac:dyDescent="0.35">
      <c r="A1552" s="118">
        <v>43795</v>
      </c>
      <c r="B1552" s="119">
        <v>16892.150000000001</v>
      </c>
    </row>
    <row r="1553" spans="1:2" x14ac:dyDescent="0.35">
      <c r="A1553" s="118">
        <v>43794</v>
      </c>
      <c r="B1553" s="119">
        <v>16942.7</v>
      </c>
    </row>
    <row r="1554" spans="1:2" x14ac:dyDescent="0.35">
      <c r="A1554" s="118">
        <v>43791</v>
      </c>
      <c r="B1554" s="119">
        <v>16719.11</v>
      </c>
    </row>
    <row r="1555" spans="1:2" x14ac:dyDescent="0.35">
      <c r="A1555" s="118">
        <v>43790</v>
      </c>
      <c r="B1555" s="119">
        <v>16794.86</v>
      </c>
    </row>
    <row r="1556" spans="1:2" x14ac:dyDescent="0.35">
      <c r="A1556" s="118">
        <v>43789</v>
      </c>
      <c r="B1556" s="119">
        <v>16837.96</v>
      </c>
    </row>
    <row r="1557" spans="1:2" x14ac:dyDescent="0.35">
      <c r="A1557" s="118">
        <v>43788</v>
      </c>
      <c r="B1557" s="119">
        <v>16755.150000000001</v>
      </c>
    </row>
    <row r="1558" spans="1:2" x14ac:dyDescent="0.35">
      <c r="A1558" s="118">
        <v>43787</v>
      </c>
      <c r="B1558" s="119">
        <v>16677.14</v>
      </c>
    </row>
    <row r="1559" spans="1:2" x14ac:dyDescent="0.35">
      <c r="A1559" s="118">
        <v>43784</v>
      </c>
      <c r="B1559" s="119">
        <v>16692.52</v>
      </c>
    </row>
    <row r="1560" spans="1:2" x14ac:dyDescent="0.35">
      <c r="A1560" s="118">
        <v>43783</v>
      </c>
      <c r="B1560" s="119">
        <v>16659.78</v>
      </c>
    </row>
    <row r="1561" spans="1:2" x14ac:dyDescent="0.35">
      <c r="A1561" s="118">
        <v>43782</v>
      </c>
      <c r="B1561" s="119">
        <v>16615.37</v>
      </c>
    </row>
    <row r="1562" spans="1:2" x14ac:dyDescent="0.35">
      <c r="A1562" s="118">
        <v>43780</v>
      </c>
      <c r="B1562" s="119">
        <v>16717.75</v>
      </c>
    </row>
    <row r="1563" spans="1:2" x14ac:dyDescent="0.35">
      <c r="A1563" s="118">
        <v>43777</v>
      </c>
      <c r="B1563" s="119">
        <v>16710.37</v>
      </c>
    </row>
    <row r="1564" spans="1:2" x14ac:dyDescent="0.35">
      <c r="A1564" s="118">
        <v>43776</v>
      </c>
      <c r="B1564" s="119">
        <v>16856.169999999998</v>
      </c>
    </row>
    <row r="1565" spans="1:2" x14ac:dyDescent="0.35">
      <c r="A1565" s="118">
        <v>43775</v>
      </c>
      <c r="B1565" s="119">
        <v>16791.61</v>
      </c>
    </row>
    <row r="1566" spans="1:2" x14ac:dyDescent="0.35">
      <c r="A1566" s="118">
        <v>43774</v>
      </c>
      <c r="B1566" s="119">
        <v>16723.060000000001</v>
      </c>
    </row>
    <row r="1567" spans="1:2" x14ac:dyDescent="0.35">
      <c r="A1567" s="118">
        <v>43773</v>
      </c>
      <c r="B1567" s="119">
        <v>16756.87</v>
      </c>
    </row>
    <row r="1568" spans="1:2" x14ac:dyDescent="0.35">
      <c r="A1568" s="118">
        <v>43770</v>
      </c>
      <c r="B1568" s="119">
        <v>16685.73</v>
      </c>
    </row>
    <row r="1569" spans="1:2" x14ac:dyDescent="0.35">
      <c r="A1569" s="118">
        <v>43769</v>
      </c>
      <c r="B1569" s="119">
        <v>16667.29</v>
      </c>
    </row>
    <row r="1570" spans="1:2" x14ac:dyDescent="0.35">
      <c r="A1570" s="118">
        <v>43768</v>
      </c>
      <c r="B1570" s="119">
        <v>16620.07</v>
      </c>
    </row>
    <row r="1571" spans="1:2" x14ac:dyDescent="0.35">
      <c r="A1571" s="118">
        <v>43767</v>
      </c>
      <c r="B1571" s="119">
        <v>16539.23</v>
      </c>
    </row>
    <row r="1572" spans="1:2" x14ac:dyDescent="0.35">
      <c r="A1572" s="118">
        <v>43765</v>
      </c>
      <c r="B1572" s="119">
        <v>16315.17</v>
      </c>
    </row>
    <row r="1573" spans="1:2" x14ac:dyDescent="0.35">
      <c r="A1573" s="118">
        <v>43763</v>
      </c>
      <c r="B1573" s="119">
        <v>16254.45</v>
      </c>
    </row>
    <row r="1574" spans="1:2" x14ac:dyDescent="0.35">
      <c r="A1574" s="118">
        <v>43762</v>
      </c>
      <c r="B1574" s="119">
        <v>16252.63</v>
      </c>
    </row>
    <row r="1575" spans="1:2" x14ac:dyDescent="0.35">
      <c r="A1575" s="118">
        <v>43761</v>
      </c>
      <c r="B1575" s="119">
        <v>16282.84</v>
      </c>
    </row>
    <row r="1576" spans="1:2" x14ac:dyDescent="0.35">
      <c r="A1576" s="118">
        <v>43760</v>
      </c>
      <c r="B1576" s="119">
        <v>16248.11</v>
      </c>
    </row>
    <row r="1577" spans="1:2" x14ac:dyDescent="0.35">
      <c r="A1577" s="118">
        <v>43756</v>
      </c>
      <c r="B1577" s="119">
        <v>16351.16</v>
      </c>
    </row>
    <row r="1578" spans="1:2" x14ac:dyDescent="0.35">
      <c r="A1578" s="118">
        <v>43755</v>
      </c>
      <c r="B1578" s="119">
        <v>16245.31</v>
      </c>
    </row>
    <row r="1579" spans="1:2" x14ac:dyDescent="0.35">
      <c r="A1579" s="118">
        <v>43754</v>
      </c>
      <c r="B1579" s="119">
        <v>16057.85</v>
      </c>
    </row>
    <row r="1580" spans="1:2" x14ac:dyDescent="0.35">
      <c r="A1580" s="118">
        <v>43753</v>
      </c>
      <c r="B1580" s="119">
        <v>16007.83</v>
      </c>
    </row>
    <row r="1581" spans="1:2" x14ac:dyDescent="0.35">
      <c r="A1581" s="118">
        <v>43752</v>
      </c>
      <c r="B1581" s="119">
        <v>15885.74</v>
      </c>
    </row>
    <row r="1582" spans="1:2" x14ac:dyDescent="0.35">
      <c r="A1582" s="118">
        <v>43749</v>
      </c>
      <c r="B1582" s="119">
        <v>15835.17</v>
      </c>
    </row>
    <row r="1583" spans="1:2" x14ac:dyDescent="0.35">
      <c r="A1583" s="118">
        <v>43748</v>
      </c>
      <c r="B1583" s="119">
        <v>15736.44</v>
      </c>
    </row>
    <row r="1584" spans="1:2" x14ac:dyDescent="0.35">
      <c r="A1584" s="118">
        <v>43747</v>
      </c>
      <c r="B1584" s="119">
        <v>15846.77</v>
      </c>
    </row>
    <row r="1585" spans="1:2" x14ac:dyDescent="0.35">
      <c r="A1585" s="118">
        <v>43745</v>
      </c>
      <c r="B1585" s="119">
        <v>15584.94</v>
      </c>
    </row>
    <row r="1586" spans="1:2" x14ac:dyDescent="0.35">
      <c r="A1586" s="118">
        <v>43742</v>
      </c>
      <c r="B1586" s="119">
        <v>15652.7</v>
      </c>
    </row>
    <row r="1587" spans="1:2" x14ac:dyDescent="0.35">
      <c r="A1587" s="118">
        <v>43741</v>
      </c>
      <c r="B1587" s="119">
        <v>15847.7</v>
      </c>
    </row>
    <row r="1588" spans="1:2" x14ac:dyDescent="0.35">
      <c r="A1588" s="118">
        <v>43739</v>
      </c>
      <c r="B1588" s="119">
        <v>15912.03</v>
      </c>
    </row>
    <row r="1589" spans="1:2" x14ac:dyDescent="0.35">
      <c r="A1589" s="118">
        <v>43738</v>
      </c>
      <c r="B1589" s="119">
        <v>16072.5</v>
      </c>
    </row>
    <row r="1590" spans="1:2" x14ac:dyDescent="0.35">
      <c r="A1590" s="118">
        <v>43735</v>
      </c>
      <c r="B1590" s="119">
        <v>16125.65</v>
      </c>
    </row>
    <row r="1591" spans="1:2" x14ac:dyDescent="0.35">
      <c r="A1591" s="118">
        <v>43734</v>
      </c>
      <c r="B1591" s="119">
        <v>16207.96</v>
      </c>
    </row>
    <row r="1592" spans="1:2" x14ac:dyDescent="0.35">
      <c r="A1592" s="118">
        <v>43733</v>
      </c>
      <c r="B1592" s="119">
        <v>16024.49</v>
      </c>
    </row>
    <row r="1593" spans="1:2" x14ac:dyDescent="0.35">
      <c r="A1593" s="118">
        <v>43732</v>
      </c>
      <c r="B1593" s="119">
        <v>16231.83</v>
      </c>
    </row>
    <row r="1594" spans="1:2" x14ac:dyDescent="0.35">
      <c r="A1594" s="118">
        <v>43731</v>
      </c>
      <c r="B1594" s="119">
        <v>16248.62</v>
      </c>
    </row>
    <row r="1595" spans="1:2" x14ac:dyDescent="0.35">
      <c r="A1595" s="118">
        <v>43728</v>
      </c>
      <c r="B1595" s="119">
        <v>15791.99</v>
      </c>
    </row>
    <row r="1596" spans="1:2" x14ac:dyDescent="0.35">
      <c r="A1596" s="118">
        <v>43727</v>
      </c>
      <c r="B1596" s="119">
        <v>14994.39</v>
      </c>
    </row>
    <row r="1597" spans="1:2" x14ac:dyDescent="0.35">
      <c r="A1597" s="118">
        <v>43726</v>
      </c>
      <c r="B1597" s="119">
        <v>15184.69</v>
      </c>
    </row>
    <row r="1598" spans="1:2" x14ac:dyDescent="0.35">
      <c r="A1598" s="118">
        <v>43725</v>
      </c>
      <c r="B1598" s="119">
        <v>15152.39</v>
      </c>
    </row>
    <row r="1599" spans="1:2" x14ac:dyDescent="0.35">
      <c r="A1599" s="118">
        <v>43724</v>
      </c>
      <c r="B1599" s="119">
        <v>15412.83</v>
      </c>
    </row>
    <row r="1600" spans="1:2" x14ac:dyDescent="0.35">
      <c r="A1600" s="118">
        <v>43721</v>
      </c>
      <c r="B1600" s="119">
        <v>15514.2</v>
      </c>
    </row>
    <row r="1601" spans="1:2" x14ac:dyDescent="0.35">
      <c r="A1601" s="118">
        <v>43720</v>
      </c>
      <c r="B1601" s="119">
        <v>15383.82</v>
      </c>
    </row>
    <row r="1602" spans="1:2" x14ac:dyDescent="0.35">
      <c r="A1602" s="118">
        <v>43719</v>
      </c>
      <c r="B1602" s="119">
        <v>15457.9</v>
      </c>
    </row>
    <row r="1603" spans="1:2" x14ac:dyDescent="0.35">
      <c r="A1603" s="118">
        <v>43717</v>
      </c>
      <c r="B1603" s="119">
        <v>15412.14</v>
      </c>
    </row>
    <row r="1604" spans="1:2" x14ac:dyDescent="0.35">
      <c r="A1604" s="118">
        <v>43714</v>
      </c>
      <c r="B1604" s="119">
        <v>15332.57</v>
      </c>
    </row>
    <row r="1605" spans="1:2" x14ac:dyDescent="0.35">
      <c r="A1605" s="118">
        <v>43713</v>
      </c>
      <c r="B1605" s="119">
        <v>15194.86</v>
      </c>
    </row>
    <row r="1606" spans="1:2" x14ac:dyDescent="0.35">
      <c r="A1606" s="118">
        <v>43712</v>
      </c>
      <c r="B1606" s="119">
        <v>15190.3</v>
      </c>
    </row>
    <row r="1607" spans="1:2" x14ac:dyDescent="0.35">
      <c r="A1607" s="118">
        <v>43711</v>
      </c>
      <c r="B1607" s="119">
        <v>15124.8</v>
      </c>
    </row>
    <row r="1608" spans="1:2" x14ac:dyDescent="0.35">
      <c r="A1608" s="118">
        <v>43707</v>
      </c>
      <c r="B1608" s="119">
        <v>15440.47</v>
      </c>
    </row>
    <row r="1609" spans="1:2" x14ac:dyDescent="0.35">
      <c r="A1609" s="118">
        <v>43706</v>
      </c>
      <c r="B1609" s="119">
        <v>15335.45</v>
      </c>
    </row>
    <row r="1610" spans="1:2" x14ac:dyDescent="0.35">
      <c r="A1610" s="118">
        <v>43705</v>
      </c>
      <c r="B1610" s="119">
        <v>15472.44</v>
      </c>
    </row>
    <row r="1611" spans="1:2" x14ac:dyDescent="0.35">
      <c r="A1611" s="118">
        <v>43704</v>
      </c>
      <c r="B1611" s="119">
        <v>15555.44</v>
      </c>
    </row>
    <row r="1612" spans="1:2" x14ac:dyDescent="0.35">
      <c r="A1612" s="118">
        <v>43703</v>
      </c>
      <c r="B1612" s="119">
        <v>15488.96</v>
      </c>
    </row>
    <row r="1613" spans="1:2" x14ac:dyDescent="0.35">
      <c r="A1613" s="118">
        <v>43700</v>
      </c>
      <c r="B1613" s="119">
        <v>15168.88</v>
      </c>
    </row>
    <row r="1614" spans="1:2" x14ac:dyDescent="0.35">
      <c r="A1614" s="118">
        <v>43699</v>
      </c>
      <c r="B1614" s="119">
        <v>15045.62</v>
      </c>
    </row>
    <row r="1615" spans="1:2" x14ac:dyDescent="0.35">
      <c r="A1615" s="118">
        <v>43698</v>
      </c>
      <c r="B1615" s="119">
        <v>15290.85</v>
      </c>
    </row>
    <row r="1616" spans="1:2" x14ac:dyDescent="0.35">
      <c r="A1616" s="118">
        <v>43697</v>
      </c>
      <c r="B1616" s="119">
        <v>15425.45</v>
      </c>
    </row>
    <row r="1617" spans="1:2" x14ac:dyDescent="0.35">
      <c r="A1617" s="118">
        <v>43696</v>
      </c>
      <c r="B1617" s="119">
        <v>15476.07</v>
      </c>
    </row>
    <row r="1618" spans="1:2" x14ac:dyDescent="0.35">
      <c r="A1618" s="118">
        <v>43693</v>
      </c>
      <c r="B1618" s="119">
        <v>15464.58</v>
      </c>
    </row>
    <row r="1619" spans="1:2" x14ac:dyDescent="0.35">
      <c r="A1619" s="118">
        <v>43691</v>
      </c>
      <c r="B1619" s="119">
        <v>15438.86</v>
      </c>
    </row>
    <row r="1620" spans="1:2" x14ac:dyDescent="0.35">
      <c r="A1620" s="118">
        <v>43690</v>
      </c>
      <c r="B1620" s="119">
        <v>15289.35</v>
      </c>
    </row>
    <row r="1621" spans="1:2" x14ac:dyDescent="0.35">
      <c r="A1621" s="118">
        <v>43686</v>
      </c>
      <c r="B1621" s="119">
        <v>15542.72</v>
      </c>
    </row>
    <row r="1622" spans="1:2" x14ac:dyDescent="0.35">
      <c r="A1622" s="118">
        <v>43685</v>
      </c>
      <c r="B1622" s="119">
        <v>15434.73</v>
      </c>
    </row>
    <row r="1623" spans="1:2" x14ac:dyDescent="0.35">
      <c r="A1623" s="118">
        <v>43684</v>
      </c>
      <c r="B1623" s="119">
        <v>15184.34</v>
      </c>
    </row>
    <row r="1624" spans="1:2" x14ac:dyDescent="0.35">
      <c r="A1624" s="118">
        <v>43683</v>
      </c>
      <c r="B1624" s="119">
        <v>15314.03</v>
      </c>
    </row>
    <row r="1625" spans="1:2" x14ac:dyDescent="0.35">
      <c r="A1625" s="118">
        <v>43682</v>
      </c>
      <c r="B1625" s="119">
        <v>15194.27</v>
      </c>
    </row>
    <row r="1626" spans="1:2" x14ac:dyDescent="0.35">
      <c r="A1626" s="118">
        <v>43679</v>
      </c>
      <c r="B1626" s="119">
        <v>15382.73</v>
      </c>
    </row>
    <row r="1627" spans="1:2" x14ac:dyDescent="0.35">
      <c r="A1627" s="118">
        <v>43678</v>
      </c>
      <c r="B1627" s="119">
        <v>15350.83</v>
      </c>
    </row>
    <row r="1628" spans="1:2" x14ac:dyDescent="0.35">
      <c r="A1628" s="118">
        <v>43677</v>
      </c>
      <c r="B1628" s="119">
        <v>15539.43</v>
      </c>
    </row>
    <row r="1629" spans="1:2" x14ac:dyDescent="0.35">
      <c r="A1629" s="118">
        <v>43676</v>
      </c>
      <c r="B1629" s="119">
        <v>15493.33</v>
      </c>
    </row>
    <row r="1630" spans="1:2" x14ac:dyDescent="0.35">
      <c r="A1630" s="118">
        <v>43675</v>
      </c>
      <c r="B1630" s="119">
        <v>15638.42</v>
      </c>
    </row>
    <row r="1631" spans="1:2" x14ac:dyDescent="0.35">
      <c r="A1631" s="118">
        <v>43672</v>
      </c>
      <c r="B1631" s="119">
        <v>15770.63</v>
      </c>
    </row>
    <row r="1632" spans="1:2" x14ac:dyDescent="0.35">
      <c r="A1632" s="118">
        <v>43671</v>
      </c>
      <c r="B1632" s="119">
        <v>15725.6</v>
      </c>
    </row>
    <row r="1633" spans="1:2" x14ac:dyDescent="0.35">
      <c r="A1633" s="118">
        <v>43670</v>
      </c>
      <c r="B1633" s="119">
        <v>15749.37</v>
      </c>
    </row>
    <row r="1634" spans="1:2" x14ac:dyDescent="0.35">
      <c r="A1634" s="118">
        <v>43669</v>
      </c>
      <c r="B1634" s="119">
        <v>15824.55</v>
      </c>
    </row>
    <row r="1635" spans="1:2" x14ac:dyDescent="0.35">
      <c r="A1635" s="118">
        <v>43668</v>
      </c>
      <c r="B1635" s="119">
        <v>15845.74</v>
      </c>
    </row>
    <row r="1636" spans="1:2" x14ac:dyDescent="0.35">
      <c r="A1636" s="118">
        <v>43665</v>
      </c>
      <c r="B1636" s="119">
        <v>15945.55</v>
      </c>
    </row>
    <row r="1637" spans="1:2" x14ac:dyDescent="0.35">
      <c r="A1637" s="118">
        <v>43664</v>
      </c>
      <c r="B1637" s="119">
        <v>16183.16</v>
      </c>
    </row>
    <row r="1638" spans="1:2" x14ac:dyDescent="0.35">
      <c r="A1638" s="118">
        <v>43663</v>
      </c>
      <c r="B1638" s="119">
        <v>16306.82</v>
      </c>
    </row>
    <row r="1639" spans="1:2" x14ac:dyDescent="0.35">
      <c r="A1639" s="118">
        <v>43662</v>
      </c>
      <c r="B1639" s="119">
        <v>16272.08</v>
      </c>
    </row>
    <row r="1640" spans="1:2" x14ac:dyDescent="0.35">
      <c r="A1640" s="118">
        <v>43661</v>
      </c>
      <c r="B1640" s="119">
        <v>16165.28</v>
      </c>
    </row>
    <row r="1641" spans="1:2" x14ac:dyDescent="0.35">
      <c r="A1641" s="118">
        <v>43658</v>
      </c>
      <c r="B1641" s="119">
        <v>16113.75</v>
      </c>
    </row>
    <row r="1642" spans="1:2" x14ac:dyDescent="0.35">
      <c r="A1642" s="118">
        <v>43657</v>
      </c>
      <c r="B1642" s="119">
        <v>16155.78</v>
      </c>
    </row>
    <row r="1643" spans="1:2" x14ac:dyDescent="0.35">
      <c r="A1643" s="118">
        <v>43656</v>
      </c>
      <c r="B1643" s="119">
        <v>16035.44</v>
      </c>
    </row>
    <row r="1644" spans="1:2" x14ac:dyDescent="0.35">
      <c r="A1644" s="118">
        <v>43655</v>
      </c>
      <c r="B1644" s="119">
        <v>16114.46</v>
      </c>
    </row>
    <row r="1645" spans="1:2" x14ac:dyDescent="0.35">
      <c r="A1645" s="118">
        <v>43654</v>
      </c>
      <c r="B1645" s="119">
        <v>16118.27</v>
      </c>
    </row>
    <row r="1646" spans="1:2" x14ac:dyDescent="0.35">
      <c r="A1646" s="118">
        <v>43651</v>
      </c>
      <c r="B1646" s="119">
        <v>16468.990000000002</v>
      </c>
    </row>
    <row r="1647" spans="1:2" x14ac:dyDescent="0.35">
      <c r="A1647" s="118">
        <v>43650</v>
      </c>
      <c r="B1647" s="119">
        <v>16658.04</v>
      </c>
    </row>
    <row r="1648" spans="1:2" x14ac:dyDescent="0.35">
      <c r="A1648" s="118">
        <v>43649</v>
      </c>
      <c r="B1648" s="119">
        <v>16612.16</v>
      </c>
    </row>
    <row r="1649" spans="1:2" x14ac:dyDescent="0.35">
      <c r="A1649" s="118">
        <v>43648</v>
      </c>
      <c r="B1649" s="119">
        <v>16603.169999999998</v>
      </c>
    </row>
    <row r="1650" spans="1:2" x14ac:dyDescent="0.35">
      <c r="A1650" s="118">
        <v>43647</v>
      </c>
      <c r="B1650" s="119">
        <v>16540.88</v>
      </c>
    </row>
    <row r="1651" spans="1:2" x14ac:dyDescent="0.35">
      <c r="A1651" s="118">
        <v>43644</v>
      </c>
      <c r="B1651" s="119">
        <v>16433.849999999999</v>
      </c>
    </row>
    <row r="1652" spans="1:2" x14ac:dyDescent="0.35">
      <c r="A1652" s="118">
        <v>43643</v>
      </c>
      <c r="B1652" s="119">
        <v>16507.34</v>
      </c>
    </row>
    <row r="1653" spans="1:2" x14ac:dyDescent="0.35">
      <c r="A1653" s="118">
        <v>43642</v>
      </c>
      <c r="B1653" s="119">
        <v>16515.68</v>
      </c>
    </row>
    <row r="1654" spans="1:2" x14ac:dyDescent="0.35">
      <c r="A1654" s="118">
        <v>43641</v>
      </c>
      <c r="B1654" s="119">
        <v>16444.46</v>
      </c>
    </row>
    <row r="1655" spans="1:2" x14ac:dyDescent="0.35">
      <c r="A1655" s="118">
        <v>43640</v>
      </c>
      <c r="B1655" s="119">
        <v>16309.52</v>
      </c>
    </row>
    <row r="1656" spans="1:2" x14ac:dyDescent="0.35">
      <c r="A1656" s="118">
        <v>43637</v>
      </c>
      <c r="B1656" s="119">
        <v>16343.59</v>
      </c>
    </row>
    <row r="1657" spans="1:2" x14ac:dyDescent="0.35">
      <c r="A1657" s="118">
        <v>43636</v>
      </c>
      <c r="B1657" s="119">
        <v>16493.650000000001</v>
      </c>
    </row>
    <row r="1658" spans="1:2" x14ac:dyDescent="0.35">
      <c r="A1658" s="118">
        <v>43635</v>
      </c>
      <c r="B1658" s="119">
        <v>16283.94</v>
      </c>
    </row>
    <row r="1659" spans="1:2" x14ac:dyDescent="0.35">
      <c r="A1659" s="118">
        <v>43634</v>
      </c>
      <c r="B1659" s="119">
        <v>16283.98</v>
      </c>
    </row>
    <row r="1660" spans="1:2" x14ac:dyDescent="0.35">
      <c r="A1660" s="118">
        <v>43633</v>
      </c>
      <c r="B1660" s="119">
        <v>16257.06</v>
      </c>
    </row>
    <row r="1661" spans="1:2" x14ac:dyDescent="0.35">
      <c r="A1661" s="118">
        <v>43630</v>
      </c>
      <c r="B1661" s="119">
        <v>16467.55</v>
      </c>
    </row>
    <row r="1662" spans="1:2" x14ac:dyDescent="0.35">
      <c r="A1662" s="118">
        <v>43629</v>
      </c>
      <c r="B1662" s="119">
        <v>16593.97</v>
      </c>
    </row>
    <row r="1663" spans="1:2" x14ac:dyDescent="0.35">
      <c r="A1663" s="118">
        <v>43628</v>
      </c>
      <c r="B1663" s="119">
        <v>16568.09</v>
      </c>
    </row>
    <row r="1664" spans="1:2" x14ac:dyDescent="0.35">
      <c r="A1664" s="118">
        <v>43627</v>
      </c>
      <c r="B1664" s="119">
        <v>16650.75</v>
      </c>
    </row>
    <row r="1665" spans="1:2" x14ac:dyDescent="0.35">
      <c r="A1665" s="118">
        <v>43626</v>
      </c>
      <c r="B1665" s="119">
        <v>16590.990000000002</v>
      </c>
    </row>
    <row r="1666" spans="1:2" x14ac:dyDescent="0.35">
      <c r="A1666" s="118">
        <v>43623</v>
      </c>
      <c r="B1666" s="119">
        <v>16518.62</v>
      </c>
    </row>
    <row r="1667" spans="1:2" x14ac:dyDescent="0.35">
      <c r="A1667" s="118">
        <v>43622</v>
      </c>
      <c r="B1667" s="119">
        <v>16481.14</v>
      </c>
    </row>
    <row r="1668" spans="1:2" x14ac:dyDescent="0.35">
      <c r="A1668" s="118">
        <v>43620</v>
      </c>
      <c r="B1668" s="119">
        <v>16728.740000000002</v>
      </c>
    </row>
    <row r="1669" spans="1:2" x14ac:dyDescent="0.35">
      <c r="A1669" s="118">
        <v>43619</v>
      </c>
      <c r="B1669" s="119">
        <v>16815.25</v>
      </c>
    </row>
    <row r="1670" spans="1:2" x14ac:dyDescent="0.35">
      <c r="A1670" s="118">
        <v>43616</v>
      </c>
      <c r="B1670" s="119">
        <v>16583.46</v>
      </c>
    </row>
    <row r="1671" spans="1:2" x14ac:dyDescent="0.35">
      <c r="A1671" s="118">
        <v>43615</v>
      </c>
      <c r="B1671" s="119">
        <v>16615.59</v>
      </c>
    </row>
    <row r="1672" spans="1:2" x14ac:dyDescent="0.35">
      <c r="A1672" s="118">
        <v>43614</v>
      </c>
      <c r="B1672" s="119">
        <v>16497.62</v>
      </c>
    </row>
    <row r="1673" spans="1:2" x14ac:dyDescent="0.35">
      <c r="A1673" s="118">
        <v>43613</v>
      </c>
      <c r="B1673" s="119">
        <v>16591.7</v>
      </c>
    </row>
    <row r="1674" spans="1:2" x14ac:dyDescent="0.35">
      <c r="A1674" s="118">
        <v>43612</v>
      </c>
      <c r="B1674" s="119">
        <v>16585.13</v>
      </c>
    </row>
    <row r="1675" spans="1:2" x14ac:dyDescent="0.35">
      <c r="A1675" s="118">
        <v>43609</v>
      </c>
      <c r="B1675" s="119">
        <v>16472.95</v>
      </c>
    </row>
    <row r="1676" spans="1:2" x14ac:dyDescent="0.35">
      <c r="A1676" s="118">
        <v>43608</v>
      </c>
      <c r="B1676" s="119">
        <v>16212.78</v>
      </c>
    </row>
    <row r="1677" spans="1:2" x14ac:dyDescent="0.35">
      <c r="A1677" s="118">
        <v>43607</v>
      </c>
      <c r="B1677" s="119">
        <v>16325.28</v>
      </c>
    </row>
    <row r="1678" spans="1:2" x14ac:dyDescent="0.35">
      <c r="A1678" s="118">
        <v>43606</v>
      </c>
      <c r="B1678" s="119">
        <v>16268.26</v>
      </c>
    </row>
    <row r="1679" spans="1:2" x14ac:dyDescent="0.35">
      <c r="A1679" s="118">
        <v>43605</v>
      </c>
      <c r="B1679" s="119">
        <v>16433.77</v>
      </c>
    </row>
    <row r="1680" spans="1:2" x14ac:dyDescent="0.35">
      <c r="A1680" s="118">
        <v>43602</v>
      </c>
      <c r="B1680" s="119">
        <v>15848.71</v>
      </c>
    </row>
    <row r="1681" spans="1:2" x14ac:dyDescent="0.35">
      <c r="A1681" s="118">
        <v>43601</v>
      </c>
      <c r="B1681" s="119">
        <v>15640.22</v>
      </c>
    </row>
    <row r="1682" spans="1:2" x14ac:dyDescent="0.35">
      <c r="A1682" s="118">
        <v>43600</v>
      </c>
      <c r="B1682" s="119">
        <v>15500.82</v>
      </c>
    </row>
    <row r="1683" spans="1:2" x14ac:dyDescent="0.35">
      <c r="A1683" s="118">
        <v>43599</v>
      </c>
      <c r="B1683" s="119">
        <v>15591.19</v>
      </c>
    </row>
    <row r="1684" spans="1:2" x14ac:dyDescent="0.35">
      <c r="A1684" s="118">
        <v>43598</v>
      </c>
      <c r="B1684" s="119">
        <v>15488.6</v>
      </c>
    </row>
    <row r="1685" spans="1:2" x14ac:dyDescent="0.35">
      <c r="A1685" s="118">
        <v>43595</v>
      </c>
      <c r="B1685" s="119">
        <v>15670.18</v>
      </c>
    </row>
    <row r="1686" spans="1:2" x14ac:dyDescent="0.35">
      <c r="A1686" s="118">
        <v>43594</v>
      </c>
      <c r="B1686" s="119">
        <v>15701.95</v>
      </c>
    </row>
    <row r="1687" spans="1:2" x14ac:dyDescent="0.35">
      <c r="A1687" s="118">
        <v>43593</v>
      </c>
      <c r="B1687" s="119">
        <v>15782.09</v>
      </c>
    </row>
    <row r="1688" spans="1:2" x14ac:dyDescent="0.35">
      <c r="A1688" s="118">
        <v>43592</v>
      </c>
      <c r="B1688" s="119">
        <v>15974.41</v>
      </c>
    </row>
    <row r="1689" spans="1:2" x14ac:dyDescent="0.35">
      <c r="A1689" s="118">
        <v>43591</v>
      </c>
      <c r="B1689" s="119">
        <v>16110.44</v>
      </c>
    </row>
    <row r="1690" spans="1:2" x14ac:dyDescent="0.35">
      <c r="A1690" s="118">
        <v>43588</v>
      </c>
      <c r="B1690" s="119">
        <v>16268.79</v>
      </c>
    </row>
    <row r="1691" spans="1:2" x14ac:dyDescent="0.35">
      <c r="A1691" s="118">
        <v>43587</v>
      </c>
      <c r="B1691" s="119">
        <v>16286.18</v>
      </c>
    </row>
    <row r="1692" spans="1:2" x14ac:dyDescent="0.35">
      <c r="A1692" s="118">
        <v>43585</v>
      </c>
      <c r="B1692" s="119">
        <v>16318.66</v>
      </c>
    </row>
    <row r="1693" spans="1:2" x14ac:dyDescent="0.35">
      <c r="A1693" s="118">
        <v>43581</v>
      </c>
      <c r="B1693" s="119">
        <v>16327.7</v>
      </c>
    </row>
    <row r="1694" spans="1:2" x14ac:dyDescent="0.35">
      <c r="A1694" s="118">
        <v>43580</v>
      </c>
      <c r="B1694" s="119">
        <v>16170.98</v>
      </c>
    </row>
    <row r="1695" spans="1:2" x14ac:dyDescent="0.35">
      <c r="A1695" s="118">
        <v>43579</v>
      </c>
      <c r="B1695" s="119">
        <v>16288.16</v>
      </c>
    </row>
    <row r="1696" spans="1:2" x14ac:dyDescent="0.35">
      <c r="A1696" s="118">
        <v>43578</v>
      </c>
      <c r="B1696" s="119">
        <v>16079.51</v>
      </c>
    </row>
    <row r="1697" spans="1:2" x14ac:dyDescent="0.35">
      <c r="A1697" s="118">
        <v>43577</v>
      </c>
      <c r="B1697" s="119">
        <v>16105.19</v>
      </c>
    </row>
    <row r="1698" spans="1:2" x14ac:dyDescent="0.35">
      <c r="A1698" s="118">
        <v>43573</v>
      </c>
      <c r="B1698" s="119">
        <v>16325.13</v>
      </c>
    </row>
    <row r="1699" spans="1:2" x14ac:dyDescent="0.35">
      <c r="A1699" s="118">
        <v>43571</v>
      </c>
      <c r="B1699" s="119">
        <v>16372.86</v>
      </c>
    </row>
    <row r="1700" spans="1:2" x14ac:dyDescent="0.35">
      <c r="A1700" s="118">
        <v>43570</v>
      </c>
      <c r="B1700" s="119">
        <v>16238.41</v>
      </c>
    </row>
    <row r="1701" spans="1:2" x14ac:dyDescent="0.35">
      <c r="A1701" s="118">
        <v>43567</v>
      </c>
      <c r="B1701" s="119">
        <v>16173.27</v>
      </c>
    </row>
    <row r="1702" spans="1:2" x14ac:dyDescent="0.35">
      <c r="A1702" s="118">
        <v>43566</v>
      </c>
      <c r="B1702" s="119">
        <v>16108.32</v>
      </c>
    </row>
    <row r="1703" spans="1:2" x14ac:dyDescent="0.35">
      <c r="A1703" s="118">
        <v>43565</v>
      </c>
      <c r="B1703" s="119">
        <v>16091.08</v>
      </c>
    </row>
    <row r="1704" spans="1:2" x14ac:dyDescent="0.35">
      <c r="A1704" s="118">
        <v>43564</v>
      </c>
      <c r="B1704" s="119">
        <v>16212.81</v>
      </c>
    </row>
    <row r="1705" spans="1:2" x14ac:dyDescent="0.35">
      <c r="A1705" s="118">
        <v>43563</v>
      </c>
      <c r="B1705" s="119">
        <v>16119.14</v>
      </c>
    </row>
    <row r="1706" spans="1:2" x14ac:dyDescent="0.35">
      <c r="A1706" s="118">
        <v>43560</v>
      </c>
      <c r="B1706" s="119">
        <v>16204.48</v>
      </c>
    </row>
    <row r="1707" spans="1:2" x14ac:dyDescent="0.35">
      <c r="A1707" s="118">
        <v>43559</v>
      </c>
      <c r="B1707" s="119">
        <v>16110.09</v>
      </c>
    </row>
    <row r="1708" spans="1:2" x14ac:dyDescent="0.35">
      <c r="A1708" s="118">
        <v>43558</v>
      </c>
      <c r="B1708" s="119">
        <v>16173.92</v>
      </c>
    </row>
    <row r="1709" spans="1:2" x14ac:dyDescent="0.35">
      <c r="A1709" s="118">
        <v>43557</v>
      </c>
      <c r="B1709" s="119">
        <v>16270.13</v>
      </c>
    </row>
    <row r="1710" spans="1:2" x14ac:dyDescent="0.35">
      <c r="A1710" s="118">
        <v>43556</v>
      </c>
      <c r="B1710" s="119">
        <v>16208.94</v>
      </c>
    </row>
    <row r="1711" spans="1:2" x14ac:dyDescent="0.35">
      <c r="A1711" s="118">
        <v>43553</v>
      </c>
      <c r="B1711" s="119">
        <v>16146.11</v>
      </c>
    </row>
    <row r="1712" spans="1:2" x14ac:dyDescent="0.35">
      <c r="A1712" s="118">
        <v>43552</v>
      </c>
      <c r="B1712" s="119">
        <v>16071.26</v>
      </c>
    </row>
    <row r="1713" spans="1:2" x14ac:dyDescent="0.35">
      <c r="A1713" s="118">
        <v>43551</v>
      </c>
      <c r="B1713" s="119">
        <v>15897.65</v>
      </c>
    </row>
    <row r="1714" spans="1:2" x14ac:dyDescent="0.35">
      <c r="A1714" s="118">
        <v>43550</v>
      </c>
      <c r="B1714" s="119">
        <v>15949.46</v>
      </c>
    </row>
    <row r="1715" spans="1:2" x14ac:dyDescent="0.35">
      <c r="A1715" s="118">
        <v>43549</v>
      </c>
      <c r="B1715" s="119">
        <v>15770.26</v>
      </c>
    </row>
    <row r="1716" spans="1:2" x14ac:dyDescent="0.35">
      <c r="A1716" s="118">
        <v>43546</v>
      </c>
      <c r="B1716" s="119">
        <v>15912.88</v>
      </c>
    </row>
    <row r="1717" spans="1:2" x14ac:dyDescent="0.35">
      <c r="A1717" s="118">
        <v>43544</v>
      </c>
      <c r="B1717" s="119">
        <v>15998.51</v>
      </c>
    </row>
    <row r="1718" spans="1:2" x14ac:dyDescent="0.35">
      <c r="A1718" s="118">
        <v>43543</v>
      </c>
      <c r="B1718" s="119">
        <v>16014.33</v>
      </c>
    </row>
    <row r="1719" spans="1:2" x14ac:dyDescent="0.35">
      <c r="A1719" s="118">
        <v>43542</v>
      </c>
      <c r="B1719" s="119">
        <v>15916.8</v>
      </c>
    </row>
    <row r="1720" spans="1:2" x14ac:dyDescent="0.35">
      <c r="A1720" s="118">
        <v>43539</v>
      </c>
      <c r="B1720" s="119">
        <v>15867.74</v>
      </c>
    </row>
    <row r="1721" spans="1:2" x14ac:dyDescent="0.35">
      <c r="A1721" s="118">
        <v>43538</v>
      </c>
      <c r="B1721" s="119">
        <v>15749.67</v>
      </c>
    </row>
    <row r="1722" spans="1:2" x14ac:dyDescent="0.35">
      <c r="A1722" s="118">
        <v>43537</v>
      </c>
      <c r="B1722" s="119">
        <v>15742.86</v>
      </c>
    </row>
    <row r="1723" spans="1:2" x14ac:dyDescent="0.35">
      <c r="A1723" s="118">
        <v>43536</v>
      </c>
      <c r="B1723" s="119">
        <v>15685.41</v>
      </c>
    </row>
    <row r="1724" spans="1:2" x14ac:dyDescent="0.35">
      <c r="A1724" s="118">
        <v>43535</v>
      </c>
      <c r="B1724" s="119">
        <v>15500.61</v>
      </c>
    </row>
    <row r="1725" spans="1:2" x14ac:dyDescent="0.35">
      <c r="A1725" s="118">
        <v>43532</v>
      </c>
      <c r="B1725" s="119">
        <v>15316.51</v>
      </c>
    </row>
    <row r="1726" spans="1:2" x14ac:dyDescent="0.35">
      <c r="A1726" s="118">
        <v>43531</v>
      </c>
      <c r="B1726" s="119">
        <v>15348.14</v>
      </c>
    </row>
    <row r="1727" spans="1:2" x14ac:dyDescent="0.35">
      <c r="A1727" s="118">
        <v>43530</v>
      </c>
      <c r="B1727" s="119">
        <v>15340.93</v>
      </c>
    </row>
    <row r="1728" spans="1:2" x14ac:dyDescent="0.35">
      <c r="A1728" s="118">
        <v>43529</v>
      </c>
      <c r="B1728" s="119">
        <v>15249.97</v>
      </c>
    </row>
    <row r="1729" spans="1:2" x14ac:dyDescent="0.35">
      <c r="A1729" s="118">
        <v>43525</v>
      </c>
      <c r="B1729" s="119">
        <v>15077.91</v>
      </c>
    </row>
    <row r="1730" spans="1:2" x14ac:dyDescent="0.35">
      <c r="A1730" s="118">
        <v>43524</v>
      </c>
      <c r="B1730" s="119">
        <v>14979.39</v>
      </c>
    </row>
    <row r="1731" spans="1:2" x14ac:dyDescent="0.35">
      <c r="A1731" s="118">
        <v>43523</v>
      </c>
      <c r="B1731" s="119">
        <v>14993.45</v>
      </c>
    </row>
    <row r="1732" spans="1:2" x14ac:dyDescent="0.35">
      <c r="A1732" s="118">
        <v>43522</v>
      </c>
      <c r="B1732" s="119">
        <v>15033.15</v>
      </c>
    </row>
    <row r="1733" spans="1:2" x14ac:dyDescent="0.35">
      <c r="A1733" s="118">
        <v>43521</v>
      </c>
      <c r="B1733" s="119">
        <v>15095.33</v>
      </c>
    </row>
    <row r="1734" spans="1:2" x14ac:dyDescent="0.35">
      <c r="A1734" s="118">
        <v>43518</v>
      </c>
      <c r="B1734" s="119">
        <v>14972.58</v>
      </c>
    </row>
    <row r="1735" spans="1:2" x14ac:dyDescent="0.35">
      <c r="A1735" s="118">
        <v>43517</v>
      </c>
      <c r="B1735" s="119">
        <v>14970.12</v>
      </c>
    </row>
    <row r="1736" spans="1:2" x14ac:dyDescent="0.35">
      <c r="A1736" s="118">
        <v>43516</v>
      </c>
      <c r="B1736" s="119">
        <v>14891.6</v>
      </c>
    </row>
    <row r="1737" spans="1:2" x14ac:dyDescent="0.35">
      <c r="A1737" s="118">
        <v>43515</v>
      </c>
      <c r="B1737" s="119">
        <v>14709.75</v>
      </c>
    </row>
    <row r="1738" spans="1:2" x14ac:dyDescent="0.35">
      <c r="A1738" s="118">
        <v>43514</v>
      </c>
      <c r="B1738" s="119">
        <v>14760.48</v>
      </c>
    </row>
    <row r="1739" spans="1:2" x14ac:dyDescent="0.35">
      <c r="A1739" s="118">
        <v>43511</v>
      </c>
      <c r="B1739" s="119">
        <v>14876.27</v>
      </c>
    </row>
    <row r="1740" spans="1:2" x14ac:dyDescent="0.35">
      <c r="A1740" s="118">
        <v>43510</v>
      </c>
      <c r="B1740" s="119">
        <v>14906.26</v>
      </c>
    </row>
    <row r="1741" spans="1:2" x14ac:dyDescent="0.35">
      <c r="A1741" s="118">
        <v>43509</v>
      </c>
      <c r="B1741" s="119">
        <v>14970.62</v>
      </c>
    </row>
    <row r="1742" spans="1:2" x14ac:dyDescent="0.35">
      <c r="A1742" s="118">
        <v>43508</v>
      </c>
      <c r="B1742" s="119">
        <v>15023.02</v>
      </c>
    </row>
    <row r="1743" spans="1:2" x14ac:dyDescent="0.35">
      <c r="A1743" s="118">
        <v>43507</v>
      </c>
      <c r="B1743" s="119">
        <v>15100.61</v>
      </c>
    </row>
    <row r="1744" spans="1:2" x14ac:dyDescent="0.35">
      <c r="A1744" s="118">
        <v>43504</v>
      </c>
      <c r="B1744" s="119">
        <v>15173.02</v>
      </c>
    </row>
    <row r="1745" spans="1:2" x14ac:dyDescent="0.35">
      <c r="A1745" s="118">
        <v>43503</v>
      </c>
      <c r="B1745" s="119">
        <v>15347.41</v>
      </c>
    </row>
    <row r="1746" spans="1:2" x14ac:dyDescent="0.35">
      <c r="A1746" s="118">
        <v>43502</v>
      </c>
      <c r="B1746" s="119">
        <v>15337.8</v>
      </c>
    </row>
    <row r="1747" spans="1:2" x14ac:dyDescent="0.35">
      <c r="A1747" s="118">
        <v>43501</v>
      </c>
      <c r="B1747" s="119">
        <v>15155.99</v>
      </c>
    </row>
    <row r="1748" spans="1:2" x14ac:dyDescent="0.35">
      <c r="A1748" s="118">
        <v>43500</v>
      </c>
      <c r="B1748" s="119">
        <v>15125.02</v>
      </c>
    </row>
    <row r="1749" spans="1:2" x14ac:dyDescent="0.35">
      <c r="A1749" s="118">
        <v>43497</v>
      </c>
      <c r="B1749" s="119">
        <v>15099.21</v>
      </c>
    </row>
    <row r="1750" spans="1:2" x14ac:dyDescent="0.35">
      <c r="A1750" s="118">
        <v>43496</v>
      </c>
      <c r="B1750" s="119">
        <v>15012.34</v>
      </c>
    </row>
    <row r="1751" spans="1:2" x14ac:dyDescent="0.35">
      <c r="A1751" s="118">
        <v>43495</v>
      </c>
      <c r="B1751" s="119">
        <v>14764.02</v>
      </c>
    </row>
    <row r="1752" spans="1:2" x14ac:dyDescent="0.35">
      <c r="A1752" s="118">
        <v>43494</v>
      </c>
      <c r="B1752" s="119">
        <v>14764.59</v>
      </c>
    </row>
    <row r="1753" spans="1:2" x14ac:dyDescent="0.35">
      <c r="A1753" s="118">
        <v>43493</v>
      </c>
      <c r="B1753" s="119">
        <v>14777.11</v>
      </c>
    </row>
    <row r="1754" spans="1:2" x14ac:dyDescent="0.35">
      <c r="A1754" s="118">
        <v>43490</v>
      </c>
      <c r="B1754" s="119">
        <v>14942.09</v>
      </c>
    </row>
    <row r="1755" spans="1:2" x14ac:dyDescent="0.35">
      <c r="A1755" s="118">
        <v>43489</v>
      </c>
      <c r="B1755" s="119">
        <v>15038.07</v>
      </c>
    </row>
    <row r="1756" spans="1:2" x14ac:dyDescent="0.35">
      <c r="A1756" s="118">
        <v>43488</v>
      </c>
      <c r="B1756" s="119">
        <v>15007.4</v>
      </c>
    </row>
    <row r="1757" spans="1:2" x14ac:dyDescent="0.35">
      <c r="A1757" s="118">
        <v>43487</v>
      </c>
      <c r="B1757" s="119">
        <v>15133.83</v>
      </c>
    </row>
    <row r="1758" spans="1:2" x14ac:dyDescent="0.35">
      <c r="A1758" s="118">
        <v>43486</v>
      </c>
      <c r="B1758" s="119">
        <v>15188</v>
      </c>
    </row>
    <row r="1759" spans="1:2" x14ac:dyDescent="0.35">
      <c r="A1759" s="118">
        <v>43483</v>
      </c>
      <c r="B1759" s="119">
        <v>15111.95</v>
      </c>
    </row>
    <row r="1760" spans="1:2" x14ac:dyDescent="0.35">
      <c r="A1760" s="118">
        <v>43482</v>
      </c>
      <c r="B1760" s="119">
        <v>15109.54</v>
      </c>
    </row>
    <row r="1761" spans="1:2" x14ac:dyDescent="0.35">
      <c r="A1761" s="118">
        <v>43481</v>
      </c>
      <c r="B1761" s="119">
        <v>15087.41</v>
      </c>
    </row>
    <row r="1762" spans="1:2" x14ac:dyDescent="0.35">
      <c r="A1762" s="118">
        <v>43480</v>
      </c>
      <c r="B1762" s="119">
        <v>15082.59</v>
      </c>
    </row>
    <row r="1763" spans="1:2" x14ac:dyDescent="0.35">
      <c r="A1763" s="118">
        <v>43479</v>
      </c>
      <c r="B1763" s="119">
        <v>14875.92</v>
      </c>
    </row>
    <row r="1764" spans="1:2" x14ac:dyDescent="0.35">
      <c r="A1764" s="118">
        <v>43476</v>
      </c>
      <c r="B1764" s="119">
        <v>14955.33</v>
      </c>
    </row>
    <row r="1765" spans="1:2" x14ac:dyDescent="0.35">
      <c r="A1765" s="118">
        <v>43475</v>
      </c>
      <c r="B1765" s="119">
        <v>14992.23</v>
      </c>
    </row>
    <row r="1766" spans="1:2" x14ac:dyDescent="0.35">
      <c r="A1766" s="118">
        <v>43474</v>
      </c>
      <c r="B1766" s="119">
        <v>15038.74</v>
      </c>
    </row>
    <row r="1767" spans="1:2" x14ac:dyDescent="0.35">
      <c r="A1767" s="118">
        <v>43473</v>
      </c>
      <c r="B1767" s="119">
        <v>14965.34</v>
      </c>
    </row>
    <row r="1768" spans="1:2" x14ac:dyDescent="0.35">
      <c r="A1768" s="118">
        <v>43472</v>
      </c>
      <c r="B1768" s="119">
        <v>14923.27</v>
      </c>
    </row>
    <row r="1769" spans="1:2" x14ac:dyDescent="0.35">
      <c r="A1769" s="118">
        <v>43469</v>
      </c>
      <c r="B1769" s="119">
        <v>14861.69</v>
      </c>
    </row>
    <row r="1770" spans="1:2" x14ac:dyDescent="0.35">
      <c r="A1770" s="118">
        <v>43468</v>
      </c>
      <c r="B1770" s="119">
        <v>14785.38</v>
      </c>
    </row>
    <row r="1771" spans="1:2" x14ac:dyDescent="0.35">
      <c r="A1771" s="118">
        <v>43467</v>
      </c>
      <c r="B1771" s="119">
        <v>14951.96</v>
      </c>
    </row>
    <row r="1772" spans="1:2" x14ac:dyDescent="0.35">
      <c r="A1772" s="118">
        <v>43466</v>
      </c>
      <c r="B1772" s="119">
        <v>15114.9</v>
      </c>
    </row>
    <row r="1773" spans="1:2" x14ac:dyDescent="0.35">
      <c r="A1773" s="118">
        <v>43465</v>
      </c>
      <c r="B1773" s="119">
        <v>15048.98</v>
      </c>
    </row>
    <row r="1774" spans="1:2" x14ac:dyDescent="0.35">
      <c r="A1774" s="118">
        <v>43462</v>
      </c>
      <c r="B1774" s="119">
        <v>15045.34</v>
      </c>
    </row>
    <row r="1775" spans="1:2" x14ac:dyDescent="0.35">
      <c r="A1775" s="118">
        <v>43461</v>
      </c>
      <c r="B1775" s="119">
        <v>14930.18</v>
      </c>
    </row>
    <row r="1776" spans="1:2" x14ac:dyDescent="0.35">
      <c r="A1776" s="118">
        <v>43460</v>
      </c>
      <c r="B1776" s="119">
        <v>14860.97</v>
      </c>
    </row>
    <row r="1777" spans="1:2" x14ac:dyDescent="0.35">
      <c r="A1777" s="118">
        <v>43458</v>
      </c>
      <c r="B1777" s="119">
        <v>14769.13</v>
      </c>
    </row>
    <row r="1778" spans="1:2" x14ac:dyDescent="0.35">
      <c r="A1778" s="118">
        <v>43455</v>
      </c>
      <c r="B1778" s="119">
        <v>14894.42</v>
      </c>
    </row>
    <row r="1779" spans="1:2" x14ac:dyDescent="0.35">
      <c r="A1779" s="118">
        <v>43454</v>
      </c>
      <c r="B1779" s="119">
        <v>15163.14</v>
      </c>
    </row>
    <row r="1780" spans="1:2" x14ac:dyDescent="0.35">
      <c r="A1780" s="118">
        <v>43453</v>
      </c>
      <c r="B1780" s="119">
        <v>15184.78</v>
      </c>
    </row>
    <row r="1781" spans="1:2" x14ac:dyDescent="0.35">
      <c r="A1781" s="118">
        <v>43452</v>
      </c>
      <c r="B1781" s="119">
        <v>15103.63</v>
      </c>
    </row>
    <row r="1782" spans="1:2" x14ac:dyDescent="0.35">
      <c r="A1782" s="118">
        <v>43451</v>
      </c>
      <c r="B1782" s="119">
        <v>15075.46</v>
      </c>
    </row>
    <row r="1783" spans="1:2" x14ac:dyDescent="0.35">
      <c r="A1783" s="118">
        <v>43448</v>
      </c>
      <c r="B1783" s="119">
        <v>14960.64</v>
      </c>
    </row>
    <row r="1784" spans="1:2" x14ac:dyDescent="0.35">
      <c r="A1784" s="118">
        <v>43447</v>
      </c>
      <c r="B1784" s="119">
        <v>14941.4</v>
      </c>
    </row>
    <row r="1785" spans="1:2" x14ac:dyDescent="0.35">
      <c r="A1785" s="118">
        <v>43446</v>
      </c>
      <c r="B1785" s="119">
        <v>14866.71</v>
      </c>
    </row>
    <row r="1786" spans="1:2" x14ac:dyDescent="0.35">
      <c r="A1786" s="118">
        <v>43445</v>
      </c>
      <c r="B1786" s="119">
        <v>14605.79</v>
      </c>
    </row>
    <row r="1787" spans="1:2" x14ac:dyDescent="0.35">
      <c r="A1787" s="118">
        <v>43444</v>
      </c>
      <c r="B1787" s="119">
        <v>14521.73</v>
      </c>
    </row>
    <row r="1788" spans="1:2" x14ac:dyDescent="0.35">
      <c r="A1788" s="118">
        <v>43441</v>
      </c>
      <c r="B1788" s="119">
        <v>14805.93</v>
      </c>
    </row>
    <row r="1789" spans="1:2" x14ac:dyDescent="0.35">
      <c r="A1789" s="118">
        <v>43440</v>
      </c>
      <c r="B1789" s="119">
        <v>14677.79</v>
      </c>
    </row>
    <row r="1790" spans="1:2" x14ac:dyDescent="0.35">
      <c r="A1790" s="118">
        <v>43439</v>
      </c>
      <c r="B1790" s="119">
        <v>14929.43</v>
      </c>
    </row>
    <row r="1791" spans="1:2" x14ac:dyDescent="0.35">
      <c r="A1791" s="118">
        <v>43438</v>
      </c>
      <c r="B1791" s="119">
        <v>15049.32</v>
      </c>
    </row>
    <row r="1792" spans="1:2" x14ac:dyDescent="0.35">
      <c r="A1792" s="118">
        <v>43437</v>
      </c>
      <c r="B1792" s="119">
        <v>15069.07</v>
      </c>
    </row>
    <row r="1793" spans="1:2" x14ac:dyDescent="0.35">
      <c r="A1793" s="118">
        <v>43434</v>
      </c>
      <c r="B1793" s="119">
        <v>15059.37</v>
      </c>
    </row>
    <row r="1794" spans="1:2" x14ac:dyDescent="0.35">
      <c r="A1794" s="118">
        <v>43433</v>
      </c>
      <c r="B1794" s="119">
        <v>15034.36</v>
      </c>
    </row>
    <row r="1795" spans="1:2" x14ac:dyDescent="0.35">
      <c r="A1795" s="118">
        <v>43432</v>
      </c>
      <c r="B1795" s="119">
        <v>14854.61</v>
      </c>
    </row>
    <row r="1796" spans="1:2" x14ac:dyDescent="0.35">
      <c r="A1796" s="118">
        <v>43431</v>
      </c>
      <c r="B1796" s="119">
        <v>14794.7</v>
      </c>
    </row>
    <row r="1797" spans="1:2" x14ac:dyDescent="0.35">
      <c r="A1797" s="118">
        <v>43430</v>
      </c>
      <c r="B1797" s="119">
        <v>14715.81</v>
      </c>
    </row>
    <row r="1798" spans="1:2" x14ac:dyDescent="0.35">
      <c r="A1798" s="118">
        <v>43426</v>
      </c>
      <c r="B1798" s="119">
        <v>14574.82</v>
      </c>
    </row>
    <row r="1799" spans="1:2" x14ac:dyDescent="0.35">
      <c r="A1799" s="118">
        <v>43425</v>
      </c>
      <c r="B1799" s="119">
        <v>14676.29</v>
      </c>
    </row>
    <row r="1800" spans="1:2" x14ac:dyDescent="0.35">
      <c r="A1800" s="118">
        <v>43424</v>
      </c>
      <c r="B1800" s="119">
        <v>14754.03</v>
      </c>
    </row>
    <row r="1801" spans="1:2" x14ac:dyDescent="0.35">
      <c r="A1801" s="118">
        <v>43423</v>
      </c>
      <c r="B1801" s="119">
        <v>14902.44</v>
      </c>
    </row>
    <row r="1802" spans="1:2" x14ac:dyDescent="0.35">
      <c r="A1802" s="118">
        <v>43420</v>
      </c>
      <c r="B1802" s="119">
        <v>14790.05</v>
      </c>
    </row>
    <row r="1803" spans="1:2" x14ac:dyDescent="0.35">
      <c r="A1803" s="118">
        <v>43419</v>
      </c>
      <c r="B1803" s="119">
        <v>14699.33</v>
      </c>
    </row>
    <row r="1804" spans="1:2" x14ac:dyDescent="0.35">
      <c r="A1804" s="118">
        <v>43418</v>
      </c>
      <c r="B1804" s="119">
        <v>14643.42</v>
      </c>
    </row>
    <row r="1805" spans="1:2" x14ac:dyDescent="0.35">
      <c r="A1805" s="118">
        <v>43417</v>
      </c>
      <c r="B1805" s="119">
        <v>14651.98</v>
      </c>
    </row>
    <row r="1806" spans="1:2" x14ac:dyDescent="0.35">
      <c r="A1806" s="118">
        <v>43416</v>
      </c>
      <c r="B1806" s="119">
        <v>14513.12</v>
      </c>
    </row>
    <row r="1807" spans="1:2" x14ac:dyDescent="0.35">
      <c r="A1807" s="118">
        <v>43413</v>
      </c>
      <c r="B1807" s="119">
        <v>14655.69</v>
      </c>
    </row>
    <row r="1808" spans="1:2" x14ac:dyDescent="0.35">
      <c r="A1808" s="118">
        <v>43411</v>
      </c>
      <c r="B1808" s="119">
        <v>14673.98</v>
      </c>
    </row>
    <row r="1809" spans="1:2" x14ac:dyDescent="0.35">
      <c r="A1809" s="118">
        <v>43410</v>
      </c>
      <c r="B1809" s="119">
        <v>14579.28</v>
      </c>
    </row>
    <row r="1810" spans="1:2" x14ac:dyDescent="0.35">
      <c r="A1810" s="118">
        <v>43409</v>
      </c>
      <c r="B1810" s="119">
        <v>14570.98</v>
      </c>
    </row>
    <row r="1811" spans="1:2" x14ac:dyDescent="0.35">
      <c r="A1811" s="118">
        <v>43406</v>
      </c>
      <c r="B1811" s="119">
        <v>14609.96</v>
      </c>
    </row>
    <row r="1812" spans="1:2" x14ac:dyDescent="0.35">
      <c r="A1812" s="118">
        <v>43405</v>
      </c>
      <c r="B1812" s="119">
        <v>14371.1</v>
      </c>
    </row>
    <row r="1813" spans="1:2" x14ac:dyDescent="0.35">
      <c r="A1813" s="118">
        <v>43404</v>
      </c>
      <c r="B1813" s="119">
        <v>14377.38</v>
      </c>
    </row>
    <row r="1814" spans="1:2" x14ac:dyDescent="0.35">
      <c r="A1814" s="118">
        <v>43403</v>
      </c>
      <c r="B1814" s="119">
        <v>14116.91</v>
      </c>
    </row>
    <row r="1815" spans="1:2" x14ac:dyDescent="0.35">
      <c r="A1815" s="118">
        <v>43402</v>
      </c>
      <c r="B1815" s="119">
        <v>14189.11</v>
      </c>
    </row>
    <row r="1816" spans="1:2" x14ac:dyDescent="0.35">
      <c r="A1816" s="118">
        <v>43399</v>
      </c>
      <c r="B1816" s="119">
        <v>13882.95</v>
      </c>
    </row>
    <row r="1817" spans="1:2" x14ac:dyDescent="0.35">
      <c r="A1817" s="118">
        <v>43398</v>
      </c>
      <c r="B1817" s="119">
        <v>14014.33</v>
      </c>
    </row>
    <row r="1818" spans="1:2" x14ac:dyDescent="0.35">
      <c r="A1818" s="118">
        <v>43397</v>
      </c>
      <c r="B1818" s="119">
        <v>14139.75</v>
      </c>
    </row>
    <row r="1819" spans="1:2" x14ac:dyDescent="0.35">
      <c r="A1819" s="118">
        <v>43396</v>
      </c>
      <c r="B1819" s="119">
        <v>14031.96</v>
      </c>
    </row>
    <row r="1820" spans="1:2" x14ac:dyDescent="0.35">
      <c r="A1820" s="118">
        <v>43395</v>
      </c>
      <c r="B1820" s="119">
        <v>14166.64</v>
      </c>
    </row>
    <row r="1821" spans="1:2" x14ac:dyDescent="0.35">
      <c r="A1821" s="118">
        <v>43392</v>
      </c>
      <c r="B1821" s="119">
        <v>14247.22</v>
      </c>
    </row>
    <row r="1822" spans="1:2" x14ac:dyDescent="0.35">
      <c r="A1822" s="118">
        <v>43390</v>
      </c>
      <c r="B1822" s="119">
        <v>14453.94</v>
      </c>
    </row>
    <row r="1823" spans="1:2" x14ac:dyDescent="0.35">
      <c r="A1823" s="118">
        <v>43389</v>
      </c>
      <c r="B1823" s="119">
        <v>14636.1</v>
      </c>
    </row>
    <row r="1824" spans="1:2" x14ac:dyDescent="0.35">
      <c r="A1824" s="118">
        <v>43388</v>
      </c>
      <c r="B1824" s="119">
        <v>14536.17</v>
      </c>
    </row>
    <row r="1825" spans="1:2" x14ac:dyDescent="0.35">
      <c r="A1825" s="118">
        <v>43385</v>
      </c>
      <c r="B1825" s="119">
        <v>14480.86</v>
      </c>
    </row>
    <row r="1826" spans="1:2" x14ac:dyDescent="0.35">
      <c r="A1826" s="118">
        <v>43384</v>
      </c>
      <c r="B1826" s="119">
        <v>14152</v>
      </c>
    </row>
    <row r="1827" spans="1:2" x14ac:dyDescent="0.35">
      <c r="A1827" s="118">
        <v>43383</v>
      </c>
      <c r="B1827" s="119">
        <v>14463.71</v>
      </c>
    </row>
    <row r="1828" spans="1:2" x14ac:dyDescent="0.35">
      <c r="A1828" s="118">
        <v>43382</v>
      </c>
      <c r="B1828" s="119">
        <v>14243.79</v>
      </c>
    </row>
    <row r="1829" spans="1:2" x14ac:dyDescent="0.35">
      <c r="A1829" s="118">
        <v>43381</v>
      </c>
      <c r="B1829" s="119">
        <v>14308.79</v>
      </c>
    </row>
    <row r="1830" spans="1:2" x14ac:dyDescent="0.35">
      <c r="A1830" s="118">
        <v>43378</v>
      </c>
      <c r="B1830" s="119">
        <v>14265.08</v>
      </c>
    </row>
    <row r="1831" spans="1:2" x14ac:dyDescent="0.35">
      <c r="A1831" s="118">
        <v>43377</v>
      </c>
      <c r="B1831" s="119">
        <v>14656.09</v>
      </c>
    </row>
    <row r="1832" spans="1:2" x14ac:dyDescent="0.35">
      <c r="A1832" s="118">
        <v>43376</v>
      </c>
      <c r="B1832" s="119">
        <v>15014.23</v>
      </c>
    </row>
    <row r="1833" spans="1:2" x14ac:dyDescent="0.35">
      <c r="A1833" s="118">
        <v>43374</v>
      </c>
      <c r="B1833" s="119">
        <v>15221.75</v>
      </c>
    </row>
    <row r="1834" spans="1:2" x14ac:dyDescent="0.35">
      <c r="A1834" s="118">
        <v>43371</v>
      </c>
      <c r="B1834" s="119">
        <v>15114.08</v>
      </c>
    </row>
    <row r="1835" spans="1:2" x14ac:dyDescent="0.35">
      <c r="A1835" s="118">
        <v>43370</v>
      </c>
      <c r="B1835" s="119">
        <v>15179.24</v>
      </c>
    </row>
    <row r="1836" spans="1:2" x14ac:dyDescent="0.35">
      <c r="A1836" s="118">
        <v>43369</v>
      </c>
      <c r="B1836" s="119">
        <v>15284.67</v>
      </c>
    </row>
    <row r="1837" spans="1:2" x14ac:dyDescent="0.35">
      <c r="A1837" s="118">
        <v>43368</v>
      </c>
      <c r="B1837" s="119">
        <v>15303.55</v>
      </c>
    </row>
    <row r="1838" spans="1:2" x14ac:dyDescent="0.35">
      <c r="A1838" s="118">
        <v>43367</v>
      </c>
      <c r="B1838" s="119">
        <v>15165.18</v>
      </c>
    </row>
    <row r="1839" spans="1:2" x14ac:dyDescent="0.35">
      <c r="A1839" s="118">
        <v>43364</v>
      </c>
      <c r="B1839" s="119">
        <v>15408.16</v>
      </c>
    </row>
    <row r="1840" spans="1:2" x14ac:dyDescent="0.35">
      <c r="A1840" s="118">
        <v>43362</v>
      </c>
      <c r="B1840" s="119">
        <v>15534.28</v>
      </c>
    </row>
    <row r="1841" spans="1:2" x14ac:dyDescent="0.35">
      <c r="A1841" s="118">
        <v>43361</v>
      </c>
      <c r="B1841" s="119">
        <v>15594.57</v>
      </c>
    </row>
    <row r="1842" spans="1:2" x14ac:dyDescent="0.35">
      <c r="A1842" s="118">
        <v>43360</v>
      </c>
      <c r="B1842" s="119">
        <v>15731.26</v>
      </c>
    </row>
    <row r="1843" spans="1:2" x14ac:dyDescent="0.35">
      <c r="A1843" s="118">
        <v>43357</v>
      </c>
      <c r="B1843" s="119">
        <v>15920.48</v>
      </c>
    </row>
    <row r="1844" spans="1:2" x14ac:dyDescent="0.35">
      <c r="A1844" s="118">
        <v>43355</v>
      </c>
      <c r="B1844" s="119">
        <v>15719.62</v>
      </c>
    </row>
    <row r="1845" spans="1:2" x14ac:dyDescent="0.35">
      <c r="A1845" s="118">
        <v>43354</v>
      </c>
      <c r="B1845" s="119">
        <v>15605.11</v>
      </c>
    </row>
    <row r="1846" spans="1:2" x14ac:dyDescent="0.35">
      <c r="A1846" s="118">
        <v>43353</v>
      </c>
      <c r="B1846" s="119">
        <v>15813.26</v>
      </c>
    </row>
    <row r="1847" spans="1:2" x14ac:dyDescent="0.35">
      <c r="A1847" s="118">
        <v>43350</v>
      </c>
      <c r="B1847" s="119">
        <v>16019.84</v>
      </c>
    </row>
    <row r="1848" spans="1:2" x14ac:dyDescent="0.35">
      <c r="A1848" s="118">
        <v>43349</v>
      </c>
      <c r="B1848" s="119">
        <v>15947.67</v>
      </c>
    </row>
    <row r="1849" spans="1:2" x14ac:dyDescent="0.35">
      <c r="A1849" s="118">
        <v>43348</v>
      </c>
      <c r="B1849" s="119">
        <v>15862.15</v>
      </c>
    </row>
    <row r="1850" spans="1:2" x14ac:dyDescent="0.35">
      <c r="A1850" s="118">
        <v>43347</v>
      </c>
      <c r="B1850" s="119">
        <v>15922.09</v>
      </c>
    </row>
    <row r="1851" spans="1:2" x14ac:dyDescent="0.35">
      <c r="A1851" s="118">
        <v>43346</v>
      </c>
      <c r="B1851" s="119">
        <v>16007.84</v>
      </c>
    </row>
    <row r="1852" spans="1:2" x14ac:dyDescent="0.35">
      <c r="A1852" s="118">
        <v>43343</v>
      </c>
      <c r="B1852" s="119">
        <v>16143.51</v>
      </c>
    </row>
    <row r="1853" spans="1:2" x14ac:dyDescent="0.35">
      <c r="A1853" s="118">
        <v>43342</v>
      </c>
      <c r="B1853" s="119">
        <v>16135.61</v>
      </c>
    </row>
    <row r="1854" spans="1:2" x14ac:dyDescent="0.35">
      <c r="A1854" s="118">
        <v>43341</v>
      </c>
      <c r="B1854" s="119">
        <v>16156.02</v>
      </c>
    </row>
    <row r="1855" spans="1:2" x14ac:dyDescent="0.35">
      <c r="A1855" s="118">
        <v>43340</v>
      </c>
      <c r="B1855" s="119">
        <v>16220.45</v>
      </c>
    </row>
    <row r="1856" spans="1:2" x14ac:dyDescent="0.35">
      <c r="A1856" s="118">
        <v>43339</v>
      </c>
      <c r="B1856" s="119">
        <v>16156.09</v>
      </c>
    </row>
    <row r="1857" spans="1:2" x14ac:dyDescent="0.35">
      <c r="A1857" s="118">
        <v>43336</v>
      </c>
      <c r="B1857" s="119">
        <v>15969.8</v>
      </c>
    </row>
    <row r="1858" spans="1:2" x14ac:dyDescent="0.35">
      <c r="A1858" s="118">
        <v>43335</v>
      </c>
      <c r="B1858" s="119">
        <v>16001.85</v>
      </c>
    </row>
    <row r="1859" spans="1:2" x14ac:dyDescent="0.35">
      <c r="A1859" s="118">
        <v>43333</v>
      </c>
      <c r="B1859" s="119">
        <v>15985.48</v>
      </c>
    </row>
    <row r="1860" spans="1:2" x14ac:dyDescent="0.35">
      <c r="A1860" s="118">
        <v>43332</v>
      </c>
      <c r="B1860" s="119">
        <v>15959.04</v>
      </c>
    </row>
    <row r="1861" spans="1:2" x14ac:dyDescent="0.35">
      <c r="A1861" s="118">
        <v>43329</v>
      </c>
      <c r="B1861" s="119">
        <v>15845.64</v>
      </c>
    </row>
    <row r="1862" spans="1:2" x14ac:dyDescent="0.35">
      <c r="A1862" s="118">
        <v>43328</v>
      </c>
      <c r="B1862" s="119">
        <v>15727.25</v>
      </c>
    </row>
    <row r="1863" spans="1:2" x14ac:dyDescent="0.35">
      <c r="A1863" s="118">
        <v>43326</v>
      </c>
      <c r="B1863" s="119">
        <v>15796.36</v>
      </c>
    </row>
    <row r="1864" spans="1:2" x14ac:dyDescent="0.35">
      <c r="A1864" s="118">
        <v>43325</v>
      </c>
      <c r="B1864" s="119">
        <v>15676.23</v>
      </c>
    </row>
    <row r="1865" spans="1:2" x14ac:dyDescent="0.35">
      <c r="A1865" s="118">
        <v>43322</v>
      </c>
      <c r="B1865" s="119">
        <v>15776.32</v>
      </c>
    </row>
    <row r="1866" spans="1:2" x14ac:dyDescent="0.35">
      <c r="A1866" s="118">
        <v>43321</v>
      </c>
      <c r="B1866" s="119">
        <v>15833.23</v>
      </c>
    </row>
    <row r="1867" spans="1:2" x14ac:dyDescent="0.35">
      <c r="A1867" s="118">
        <v>43320</v>
      </c>
      <c r="B1867" s="119">
        <v>15803.64</v>
      </c>
    </row>
    <row r="1868" spans="1:2" x14ac:dyDescent="0.35">
      <c r="A1868" s="118">
        <v>43319</v>
      </c>
      <c r="B1868" s="119">
        <v>15720.05</v>
      </c>
    </row>
    <row r="1869" spans="1:2" x14ac:dyDescent="0.35">
      <c r="A1869" s="118">
        <v>43318</v>
      </c>
      <c r="B1869" s="119">
        <v>15716.78</v>
      </c>
    </row>
    <row r="1870" spans="1:2" x14ac:dyDescent="0.35">
      <c r="A1870" s="118">
        <v>43315</v>
      </c>
      <c r="B1870" s="119">
        <v>15680.51</v>
      </c>
    </row>
    <row r="1871" spans="1:2" x14ac:dyDescent="0.35">
      <c r="A1871" s="118">
        <v>43314</v>
      </c>
      <c r="B1871" s="119">
        <v>15520.25</v>
      </c>
    </row>
    <row r="1872" spans="1:2" x14ac:dyDescent="0.35">
      <c r="A1872" s="118">
        <v>43313</v>
      </c>
      <c r="B1872" s="119">
        <v>15658.27</v>
      </c>
    </row>
    <row r="1873" spans="1:2" x14ac:dyDescent="0.35">
      <c r="A1873" s="118">
        <v>43312</v>
      </c>
      <c r="B1873" s="119">
        <v>15672.47</v>
      </c>
    </row>
    <row r="1874" spans="1:2" x14ac:dyDescent="0.35">
      <c r="A1874" s="118">
        <v>43311</v>
      </c>
      <c r="B1874" s="119">
        <v>15621.47</v>
      </c>
    </row>
    <row r="1875" spans="1:2" x14ac:dyDescent="0.35">
      <c r="A1875" s="118">
        <v>43308</v>
      </c>
      <c r="B1875" s="119">
        <v>15564.19</v>
      </c>
    </row>
    <row r="1876" spans="1:2" x14ac:dyDescent="0.35">
      <c r="A1876" s="118">
        <v>43307</v>
      </c>
      <c r="B1876" s="119">
        <v>15410.93</v>
      </c>
    </row>
    <row r="1877" spans="1:2" x14ac:dyDescent="0.35">
      <c r="A1877" s="118">
        <v>43306</v>
      </c>
      <c r="B1877" s="119">
        <v>15358.72</v>
      </c>
    </row>
    <row r="1878" spans="1:2" x14ac:dyDescent="0.35">
      <c r="A1878" s="118">
        <v>43305</v>
      </c>
      <c r="B1878" s="119">
        <v>15361.88</v>
      </c>
    </row>
    <row r="1879" spans="1:2" x14ac:dyDescent="0.35">
      <c r="A1879" s="118">
        <v>43304</v>
      </c>
      <c r="B1879" s="119">
        <v>15293.5</v>
      </c>
    </row>
    <row r="1880" spans="1:2" x14ac:dyDescent="0.35">
      <c r="A1880" s="118">
        <v>43301</v>
      </c>
      <c r="B1880" s="119">
        <v>15190.13</v>
      </c>
    </row>
    <row r="1881" spans="1:2" x14ac:dyDescent="0.35">
      <c r="A1881" s="118">
        <v>43300</v>
      </c>
      <c r="B1881" s="119">
        <v>15116.83</v>
      </c>
    </row>
    <row r="1882" spans="1:2" x14ac:dyDescent="0.35">
      <c r="A1882" s="118">
        <v>43299</v>
      </c>
      <c r="B1882" s="119">
        <v>15135.57</v>
      </c>
    </row>
    <row r="1883" spans="1:2" x14ac:dyDescent="0.35">
      <c r="A1883" s="118">
        <v>43298</v>
      </c>
      <c r="B1883" s="119">
        <v>15172.31</v>
      </c>
    </row>
    <row r="1884" spans="1:2" x14ac:dyDescent="0.35">
      <c r="A1884" s="118">
        <v>43297</v>
      </c>
      <c r="B1884" s="119">
        <v>15072.66</v>
      </c>
    </row>
    <row r="1885" spans="1:2" x14ac:dyDescent="0.35">
      <c r="A1885" s="118">
        <v>43294</v>
      </c>
      <c r="B1885" s="119">
        <v>15184.88</v>
      </c>
    </row>
    <row r="1886" spans="1:2" x14ac:dyDescent="0.35">
      <c r="A1886" s="118">
        <v>43293</v>
      </c>
      <c r="B1886" s="119">
        <v>15190.82</v>
      </c>
    </row>
    <row r="1887" spans="1:2" x14ac:dyDescent="0.35">
      <c r="A1887" s="118">
        <v>43292</v>
      </c>
      <c r="B1887" s="119">
        <v>15085.15</v>
      </c>
    </row>
    <row r="1888" spans="1:2" x14ac:dyDescent="0.35">
      <c r="A1888" s="118">
        <v>43291</v>
      </c>
      <c r="B1888" s="119">
        <v>15081.6</v>
      </c>
    </row>
    <row r="1889" spans="1:2" x14ac:dyDescent="0.35">
      <c r="A1889" s="118">
        <v>43290</v>
      </c>
      <c r="B1889" s="119">
        <v>14951.2</v>
      </c>
    </row>
    <row r="1890" spans="1:2" x14ac:dyDescent="0.35">
      <c r="A1890" s="118">
        <v>43287</v>
      </c>
      <c r="B1890" s="119">
        <v>14840.13</v>
      </c>
    </row>
    <row r="1891" spans="1:2" x14ac:dyDescent="0.35">
      <c r="A1891" s="118">
        <v>43286</v>
      </c>
      <c r="B1891" s="119">
        <v>14808.54</v>
      </c>
    </row>
    <row r="1892" spans="1:2" x14ac:dyDescent="0.35">
      <c r="A1892" s="118">
        <v>43285</v>
      </c>
      <c r="B1892" s="119">
        <v>14830.5</v>
      </c>
    </row>
    <row r="1893" spans="1:2" x14ac:dyDescent="0.35">
      <c r="A1893" s="118">
        <v>43284</v>
      </c>
      <c r="B1893" s="119">
        <v>14734.11</v>
      </c>
    </row>
    <row r="1894" spans="1:2" x14ac:dyDescent="0.35">
      <c r="A1894" s="118">
        <v>43283</v>
      </c>
      <c r="B1894" s="119">
        <v>14675.42</v>
      </c>
    </row>
    <row r="1895" spans="1:2" x14ac:dyDescent="0.35">
      <c r="A1895" s="118">
        <v>43280</v>
      </c>
      <c r="B1895" s="119">
        <v>14753.91</v>
      </c>
    </row>
    <row r="1896" spans="1:2" x14ac:dyDescent="0.35">
      <c r="A1896" s="118">
        <v>43279</v>
      </c>
      <c r="B1896" s="119">
        <v>14581.53</v>
      </c>
    </row>
    <row r="1897" spans="1:2" x14ac:dyDescent="0.35">
      <c r="A1897" s="118">
        <v>43278</v>
      </c>
      <c r="B1897" s="119">
        <v>14694.16</v>
      </c>
    </row>
    <row r="1898" spans="1:2" x14ac:dyDescent="0.35">
      <c r="A1898" s="118">
        <v>43277</v>
      </c>
      <c r="B1898" s="119">
        <v>14821.45</v>
      </c>
    </row>
    <row r="1899" spans="1:2" x14ac:dyDescent="0.35">
      <c r="A1899" s="118">
        <v>43276</v>
      </c>
      <c r="B1899" s="119">
        <v>14812.28</v>
      </c>
    </row>
    <row r="1900" spans="1:2" x14ac:dyDescent="0.35">
      <c r="A1900" s="118">
        <v>43273</v>
      </c>
      <c r="B1900" s="119">
        <v>14894.02</v>
      </c>
    </row>
    <row r="1901" spans="1:2" x14ac:dyDescent="0.35">
      <c r="A1901" s="118">
        <v>43272</v>
      </c>
      <c r="B1901" s="119">
        <v>14782.87</v>
      </c>
    </row>
    <row r="1902" spans="1:2" x14ac:dyDescent="0.35">
      <c r="A1902" s="118">
        <v>43271</v>
      </c>
      <c r="B1902" s="119">
        <v>14822.46</v>
      </c>
    </row>
    <row r="1903" spans="1:2" x14ac:dyDescent="0.35">
      <c r="A1903" s="118">
        <v>43270</v>
      </c>
      <c r="B1903" s="119">
        <v>14737.7</v>
      </c>
    </row>
    <row r="1904" spans="1:2" x14ac:dyDescent="0.35">
      <c r="A1904" s="118">
        <v>43269</v>
      </c>
      <c r="B1904" s="119">
        <v>14860.73</v>
      </c>
    </row>
    <row r="1905" spans="1:2" x14ac:dyDescent="0.35">
      <c r="A1905" s="118">
        <v>43266</v>
      </c>
      <c r="B1905" s="119">
        <v>14885.3</v>
      </c>
    </row>
    <row r="1906" spans="1:2" x14ac:dyDescent="0.35">
      <c r="A1906" s="118">
        <v>43265</v>
      </c>
      <c r="B1906" s="119">
        <v>14871.97</v>
      </c>
    </row>
    <row r="1907" spans="1:2" x14ac:dyDescent="0.35">
      <c r="A1907" s="118">
        <v>43264</v>
      </c>
      <c r="B1907" s="119">
        <v>14917.68</v>
      </c>
    </row>
    <row r="1908" spans="1:2" x14ac:dyDescent="0.35">
      <c r="A1908" s="118">
        <v>43263</v>
      </c>
      <c r="B1908" s="119">
        <v>14898.66</v>
      </c>
    </row>
    <row r="1909" spans="1:2" x14ac:dyDescent="0.35">
      <c r="A1909" s="118">
        <v>43262</v>
      </c>
      <c r="B1909" s="119">
        <v>14821.8</v>
      </c>
    </row>
    <row r="1910" spans="1:2" x14ac:dyDescent="0.35">
      <c r="A1910" s="118">
        <v>43259</v>
      </c>
      <c r="B1910" s="119">
        <v>14795.31</v>
      </c>
    </row>
    <row r="1911" spans="1:2" x14ac:dyDescent="0.35">
      <c r="A1911" s="118">
        <v>43258</v>
      </c>
      <c r="B1911" s="119">
        <v>14796.24</v>
      </c>
    </row>
    <row r="1912" spans="1:2" x14ac:dyDescent="0.35">
      <c r="A1912" s="118">
        <v>43257</v>
      </c>
      <c r="B1912" s="119">
        <v>14681.25</v>
      </c>
    </row>
    <row r="1913" spans="1:2" x14ac:dyDescent="0.35">
      <c r="A1913" s="118">
        <v>43256</v>
      </c>
      <c r="B1913" s="119">
        <v>14555.52</v>
      </c>
    </row>
    <row r="1914" spans="1:2" x14ac:dyDescent="0.35">
      <c r="A1914" s="118">
        <v>43255</v>
      </c>
      <c r="B1914" s="119">
        <v>14604.11</v>
      </c>
    </row>
    <row r="1915" spans="1:2" x14ac:dyDescent="0.35">
      <c r="A1915" s="118">
        <v>43252</v>
      </c>
      <c r="B1915" s="119">
        <v>14695.4</v>
      </c>
    </row>
    <row r="1916" spans="1:2" x14ac:dyDescent="0.35">
      <c r="A1916" s="118">
        <v>43251</v>
      </c>
      <c r="B1916" s="119">
        <v>14750.26</v>
      </c>
    </row>
    <row r="1917" spans="1:2" x14ac:dyDescent="0.35">
      <c r="A1917" s="118">
        <v>43250</v>
      </c>
      <c r="B1917" s="119">
        <v>14568.75</v>
      </c>
    </row>
    <row r="1918" spans="1:2" x14ac:dyDescent="0.35">
      <c r="A1918" s="118">
        <v>43249</v>
      </c>
      <c r="B1918" s="119">
        <v>14594.78</v>
      </c>
    </row>
    <row r="1919" spans="1:2" x14ac:dyDescent="0.35">
      <c r="A1919" s="118">
        <v>43248</v>
      </c>
      <c r="B1919" s="119">
        <v>14670.76</v>
      </c>
    </row>
    <row r="1920" spans="1:2" x14ac:dyDescent="0.35">
      <c r="A1920" s="118">
        <v>43245</v>
      </c>
      <c r="B1920" s="119">
        <v>14556.18</v>
      </c>
    </row>
    <row r="1921" spans="1:2" x14ac:dyDescent="0.35">
      <c r="A1921" s="118">
        <v>43244</v>
      </c>
      <c r="B1921" s="119">
        <v>14415.65</v>
      </c>
    </row>
    <row r="1922" spans="1:2" x14ac:dyDescent="0.35">
      <c r="A1922" s="118">
        <v>43243</v>
      </c>
      <c r="B1922" s="119">
        <v>14301.15</v>
      </c>
    </row>
    <row r="1923" spans="1:2" x14ac:dyDescent="0.35">
      <c r="A1923" s="118">
        <v>43242</v>
      </c>
      <c r="B1923" s="119">
        <v>14446.97</v>
      </c>
    </row>
    <row r="1924" spans="1:2" x14ac:dyDescent="0.35">
      <c r="A1924" s="118">
        <v>43241</v>
      </c>
      <c r="B1924" s="119">
        <v>14419.57</v>
      </c>
    </row>
    <row r="1925" spans="1:2" x14ac:dyDescent="0.35">
      <c r="A1925" s="118">
        <v>43238</v>
      </c>
      <c r="B1925" s="119">
        <v>14528.82</v>
      </c>
    </row>
    <row r="1926" spans="1:2" x14ac:dyDescent="0.35">
      <c r="A1926" s="118">
        <v>43237</v>
      </c>
      <c r="B1926" s="119">
        <v>14647.15</v>
      </c>
    </row>
    <row r="1927" spans="1:2" x14ac:dyDescent="0.35">
      <c r="A1927" s="118">
        <v>43236</v>
      </c>
      <c r="B1927" s="119">
        <v>14727.26</v>
      </c>
    </row>
    <row r="1928" spans="1:2" x14ac:dyDescent="0.35">
      <c r="A1928" s="118">
        <v>43235</v>
      </c>
      <c r="B1928" s="119">
        <v>14810.54</v>
      </c>
    </row>
    <row r="1929" spans="1:2" x14ac:dyDescent="0.35">
      <c r="A1929" s="118">
        <v>43234</v>
      </c>
      <c r="B1929" s="119">
        <v>14817.01</v>
      </c>
    </row>
    <row r="1930" spans="1:2" x14ac:dyDescent="0.35">
      <c r="A1930" s="118">
        <v>43231</v>
      </c>
      <c r="B1930" s="119">
        <v>14816.93</v>
      </c>
    </row>
    <row r="1931" spans="1:2" x14ac:dyDescent="0.35">
      <c r="A1931" s="118">
        <v>43230</v>
      </c>
      <c r="B1931" s="119">
        <v>14693.55</v>
      </c>
    </row>
    <row r="1932" spans="1:2" x14ac:dyDescent="0.35">
      <c r="A1932" s="118">
        <v>43229</v>
      </c>
      <c r="B1932" s="119">
        <v>14728.03</v>
      </c>
    </row>
    <row r="1933" spans="1:2" x14ac:dyDescent="0.35">
      <c r="A1933" s="118">
        <v>43228</v>
      </c>
      <c r="B1933" s="119">
        <v>14694.93</v>
      </c>
    </row>
    <row r="1934" spans="1:2" x14ac:dyDescent="0.35">
      <c r="A1934" s="118">
        <v>43227</v>
      </c>
      <c r="B1934" s="119">
        <v>14691.72</v>
      </c>
    </row>
    <row r="1935" spans="1:2" x14ac:dyDescent="0.35">
      <c r="A1935" s="118">
        <v>43224</v>
      </c>
      <c r="B1935" s="119">
        <v>14558.42</v>
      </c>
    </row>
    <row r="1936" spans="1:2" x14ac:dyDescent="0.35">
      <c r="A1936" s="118">
        <v>43223</v>
      </c>
      <c r="B1936" s="119">
        <v>14642.62</v>
      </c>
    </row>
    <row r="1937" spans="1:2" x14ac:dyDescent="0.35">
      <c r="A1937" s="118">
        <v>43222</v>
      </c>
      <c r="B1937" s="119">
        <v>14695.26</v>
      </c>
    </row>
    <row r="1938" spans="1:2" x14ac:dyDescent="0.35">
      <c r="A1938" s="118">
        <v>43220</v>
      </c>
      <c r="B1938" s="119">
        <v>14723.32</v>
      </c>
    </row>
    <row r="1939" spans="1:2" x14ac:dyDescent="0.35">
      <c r="A1939" s="118">
        <v>43217</v>
      </c>
      <c r="B1939" s="119">
        <v>14658.83</v>
      </c>
    </row>
    <row r="1940" spans="1:2" x14ac:dyDescent="0.35">
      <c r="A1940" s="118">
        <v>43216</v>
      </c>
      <c r="B1940" s="119">
        <v>14556.65</v>
      </c>
    </row>
    <row r="1941" spans="1:2" x14ac:dyDescent="0.35">
      <c r="A1941" s="118">
        <v>43215</v>
      </c>
      <c r="B1941" s="119">
        <v>14491.88</v>
      </c>
    </row>
    <row r="1942" spans="1:2" x14ac:dyDescent="0.35">
      <c r="A1942" s="118">
        <v>43214</v>
      </c>
      <c r="B1942" s="119">
        <v>14551.96</v>
      </c>
    </row>
    <row r="1943" spans="1:2" x14ac:dyDescent="0.35">
      <c r="A1943" s="118">
        <v>43213</v>
      </c>
      <c r="B1943" s="119">
        <v>14511.28</v>
      </c>
    </row>
    <row r="1944" spans="1:2" x14ac:dyDescent="0.35">
      <c r="A1944" s="118">
        <v>43210</v>
      </c>
      <c r="B1944" s="119">
        <v>14482.97</v>
      </c>
    </row>
    <row r="1945" spans="1:2" x14ac:dyDescent="0.35">
      <c r="A1945" s="118">
        <v>43209</v>
      </c>
      <c r="B1945" s="119">
        <v>14484.7</v>
      </c>
    </row>
    <row r="1946" spans="1:2" x14ac:dyDescent="0.35">
      <c r="A1946" s="118">
        <v>43208</v>
      </c>
      <c r="B1946" s="119">
        <v>14431.07</v>
      </c>
    </row>
    <row r="1947" spans="1:2" x14ac:dyDescent="0.35">
      <c r="A1947" s="118">
        <v>43207</v>
      </c>
      <c r="B1947" s="119">
        <v>14461.97</v>
      </c>
    </row>
    <row r="1948" spans="1:2" x14ac:dyDescent="0.35">
      <c r="A1948" s="118">
        <v>43206</v>
      </c>
      <c r="B1948" s="119">
        <v>14434.05</v>
      </c>
    </row>
    <row r="1949" spans="1:2" x14ac:dyDescent="0.35">
      <c r="A1949" s="118">
        <v>43203</v>
      </c>
      <c r="B1949" s="119">
        <v>14368.56</v>
      </c>
    </row>
    <row r="1950" spans="1:2" x14ac:dyDescent="0.35">
      <c r="A1950" s="118">
        <v>43202</v>
      </c>
      <c r="B1950" s="119">
        <v>14338.46</v>
      </c>
    </row>
    <row r="1951" spans="1:2" x14ac:dyDescent="0.35">
      <c r="A1951" s="118">
        <v>43201</v>
      </c>
      <c r="B1951" s="119">
        <v>14281.6</v>
      </c>
    </row>
    <row r="1952" spans="1:2" x14ac:dyDescent="0.35">
      <c r="A1952" s="118">
        <v>43200</v>
      </c>
      <c r="B1952" s="119">
        <v>14261.15</v>
      </c>
    </row>
    <row r="1953" spans="1:2" x14ac:dyDescent="0.35">
      <c r="A1953" s="118">
        <v>43199</v>
      </c>
      <c r="B1953" s="119">
        <v>14229.77</v>
      </c>
    </row>
    <row r="1954" spans="1:2" x14ac:dyDescent="0.35">
      <c r="A1954" s="118">
        <v>43196</v>
      </c>
      <c r="B1954" s="119">
        <v>14164.28</v>
      </c>
    </row>
    <row r="1955" spans="1:2" x14ac:dyDescent="0.35">
      <c r="A1955" s="118">
        <v>43195</v>
      </c>
      <c r="B1955" s="119">
        <v>14155.47</v>
      </c>
    </row>
    <row r="1956" spans="1:2" x14ac:dyDescent="0.35">
      <c r="A1956" s="118">
        <v>43194</v>
      </c>
      <c r="B1956" s="119">
        <v>13885.72</v>
      </c>
    </row>
    <row r="1957" spans="1:2" x14ac:dyDescent="0.35">
      <c r="A1957" s="118">
        <v>43193</v>
      </c>
      <c r="B1957" s="119">
        <v>14045.55</v>
      </c>
    </row>
    <row r="1958" spans="1:2" x14ac:dyDescent="0.35">
      <c r="A1958" s="118">
        <v>43192</v>
      </c>
      <c r="B1958" s="119">
        <v>14000.07</v>
      </c>
    </row>
    <row r="1959" spans="1:2" x14ac:dyDescent="0.35">
      <c r="A1959" s="118">
        <v>43187</v>
      </c>
      <c r="B1959" s="119">
        <v>13865.57</v>
      </c>
    </row>
    <row r="1960" spans="1:2" x14ac:dyDescent="0.35">
      <c r="A1960" s="118">
        <v>43186</v>
      </c>
      <c r="B1960" s="119">
        <v>13962.15</v>
      </c>
    </row>
    <row r="1961" spans="1:2" x14ac:dyDescent="0.35">
      <c r="A1961" s="118">
        <v>43185</v>
      </c>
      <c r="B1961" s="119">
        <v>13888.82</v>
      </c>
    </row>
    <row r="1962" spans="1:2" x14ac:dyDescent="0.35">
      <c r="A1962" s="118">
        <v>43182</v>
      </c>
      <c r="B1962" s="119">
        <v>13706.99</v>
      </c>
    </row>
    <row r="1963" spans="1:2" x14ac:dyDescent="0.35">
      <c r="A1963" s="118">
        <v>43181</v>
      </c>
      <c r="B1963" s="119">
        <v>13867.01</v>
      </c>
    </row>
    <row r="1964" spans="1:2" x14ac:dyDescent="0.35">
      <c r="A1964" s="118">
        <v>43180</v>
      </c>
      <c r="B1964" s="119">
        <v>13920.51</v>
      </c>
    </row>
    <row r="1965" spans="1:2" x14ac:dyDescent="0.35">
      <c r="A1965" s="118">
        <v>43179</v>
      </c>
      <c r="B1965" s="119">
        <v>13878.17</v>
      </c>
    </row>
    <row r="1966" spans="1:2" x14ac:dyDescent="0.35">
      <c r="A1966" s="118">
        <v>43178</v>
      </c>
      <c r="B1966" s="119">
        <v>13822.99</v>
      </c>
    </row>
    <row r="1967" spans="1:2" x14ac:dyDescent="0.35">
      <c r="A1967" s="118">
        <v>43175</v>
      </c>
      <c r="B1967" s="119">
        <v>13961.14</v>
      </c>
    </row>
    <row r="1968" spans="1:2" x14ac:dyDescent="0.35">
      <c r="A1968" s="118">
        <v>43174</v>
      </c>
      <c r="B1968" s="119">
        <v>14179.36</v>
      </c>
    </row>
    <row r="1969" spans="1:2" x14ac:dyDescent="0.35">
      <c r="A1969" s="118">
        <v>43173</v>
      </c>
      <c r="B1969" s="119">
        <v>14248.81</v>
      </c>
    </row>
    <row r="1970" spans="1:2" x14ac:dyDescent="0.35">
      <c r="A1970" s="118">
        <v>43172</v>
      </c>
      <c r="B1970" s="119">
        <v>14270.64</v>
      </c>
    </row>
    <row r="1971" spans="1:2" x14ac:dyDescent="0.35">
      <c r="A1971" s="118">
        <v>43171</v>
      </c>
      <c r="B1971" s="119">
        <v>14260.92</v>
      </c>
    </row>
    <row r="1972" spans="1:2" x14ac:dyDescent="0.35">
      <c r="A1972" s="118">
        <v>43168</v>
      </c>
      <c r="B1972" s="119">
        <v>13994.68</v>
      </c>
    </row>
    <row r="1973" spans="1:2" x14ac:dyDescent="0.35">
      <c r="A1973" s="118">
        <v>43167</v>
      </c>
      <c r="B1973" s="119">
        <v>14016.3</v>
      </c>
    </row>
    <row r="1974" spans="1:2" x14ac:dyDescent="0.35">
      <c r="A1974" s="118">
        <v>43166</v>
      </c>
      <c r="B1974" s="119">
        <v>13895.27</v>
      </c>
    </row>
    <row r="1975" spans="1:2" x14ac:dyDescent="0.35">
      <c r="A1975" s="118">
        <v>43165</v>
      </c>
      <c r="B1975" s="119">
        <v>14025.34</v>
      </c>
    </row>
    <row r="1976" spans="1:2" x14ac:dyDescent="0.35">
      <c r="A1976" s="118">
        <v>43164</v>
      </c>
      <c r="B1976" s="119">
        <v>14175.32</v>
      </c>
    </row>
    <row r="1977" spans="1:2" x14ac:dyDescent="0.35">
      <c r="A1977" s="118">
        <v>43160</v>
      </c>
      <c r="B1977" s="119">
        <v>14311.52</v>
      </c>
    </row>
    <row r="1978" spans="1:2" x14ac:dyDescent="0.35">
      <c r="A1978" s="118">
        <v>43159</v>
      </c>
      <c r="B1978" s="119">
        <v>14358.71</v>
      </c>
    </row>
    <row r="1979" spans="1:2" x14ac:dyDescent="0.35">
      <c r="A1979" s="118">
        <v>43158</v>
      </c>
      <c r="B1979" s="119">
        <v>14438.9</v>
      </c>
    </row>
    <row r="1980" spans="1:2" x14ac:dyDescent="0.35">
      <c r="A1980" s="118">
        <v>43157</v>
      </c>
      <c r="B1980" s="119">
        <v>14477.62</v>
      </c>
    </row>
    <row r="1981" spans="1:2" x14ac:dyDescent="0.35">
      <c r="A1981" s="118">
        <v>43154</v>
      </c>
      <c r="B1981" s="119">
        <v>14352.4</v>
      </c>
    </row>
    <row r="1982" spans="1:2" x14ac:dyDescent="0.35">
      <c r="A1982" s="118">
        <v>43153</v>
      </c>
      <c r="B1982" s="119">
        <v>14204.17</v>
      </c>
    </row>
    <row r="1983" spans="1:2" x14ac:dyDescent="0.35">
      <c r="A1983" s="118">
        <v>43152</v>
      </c>
      <c r="B1983" s="119">
        <v>14220.48</v>
      </c>
    </row>
    <row r="1984" spans="1:2" x14ac:dyDescent="0.35">
      <c r="A1984" s="118">
        <v>43151</v>
      </c>
      <c r="B1984" s="119">
        <v>14169.77</v>
      </c>
    </row>
    <row r="1985" spans="1:2" x14ac:dyDescent="0.35">
      <c r="A1985" s="118">
        <v>43150</v>
      </c>
      <c r="B1985" s="119">
        <v>14194.28</v>
      </c>
    </row>
    <row r="1986" spans="1:2" x14ac:dyDescent="0.35">
      <c r="A1986" s="118">
        <v>43147</v>
      </c>
      <c r="B1986" s="119">
        <v>14295.41</v>
      </c>
    </row>
    <row r="1987" spans="1:2" x14ac:dyDescent="0.35">
      <c r="A1987" s="118">
        <v>43146</v>
      </c>
      <c r="B1987" s="119">
        <v>14422.85</v>
      </c>
    </row>
    <row r="1988" spans="1:2" x14ac:dyDescent="0.35">
      <c r="A1988" s="118">
        <v>43145</v>
      </c>
      <c r="B1988" s="119">
        <v>14359.35</v>
      </c>
    </row>
    <row r="1989" spans="1:2" x14ac:dyDescent="0.35">
      <c r="A1989" s="118">
        <v>43143</v>
      </c>
      <c r="B1989" s="119">
        <v>14412.46</v>
      </c>
    </row>
    <row r="1990" spans="1:2" x14ac:dyDescent="0.35">
      <c r="A1990" s="118">
        <v>43140</v>
      </c>
      <c r="B1990" s="119">
        <v>14296.5</v>
      </c>
    </row>
    <row r="1991" spans="1:2" x14ac:dyDescent="0.35">
      <c r="A1991" s="118">
        <v>43139</v>
      </c>
      <c r="B1991" s="119">
        <v>14463.16</v>
      </c>
    </row>
    <row r="1992" spans="1:2" x14ac:dyDescent="0.35">
      <c r="A1992" s="118">
        <v>43138</v>
      </c>
      <c r="B1992" s="119">
        <v>14317.57</v>
      </c>
    </row>
    <row r="1993" spans="1:2" x14ac:dyDescent="0.35">
      <c r="A1993" s="118">
        <v>43137</v>
      </c>
      <c r="B1993" s="119">
        <v>14344.02</v>
      </c>
    </row>
    <row r="1994" spans="1:2" x14ac:dyDescent="0.35">
      <c r="A1994" s="118">
        <v>43136</v>
      </c>
      <c r="B1994" s="119">
        <v>14574</v>
      </c>
    </row>
    <row r="1995" spans="1:2" x14ac:dyDescent="0.35">
      <c r="A1995" s="118">
        <v>43133</v>
      </c>
      <c r="B1995" s="119">
        <v>14702.49</v>
      </c>
    </row>
    <row r="1996" spans="1:2" x14ac:dyDescent="0.35">
      <c r="A1996" s="118">
        <v>43132</v>
      </c>
      <c r="B1996" s="119">
        <v>15052.72</v>
      </c>
    </row>
    <row r="1997" spans="1:2" x14ac:dyDescent="0.35">
      <c r="A1997" s="118">
        <v>43131</v>
      </c>
      <c r="B1997" s="119">
        <v>15065.82</v>
      </c>
    </row>
    <row r="1998" spans="1:2" x14ac:dyDescent="0.35">
      <c r="A1998" s="118">
        <v>43130</v>
      </c>
      <c r="B1998" s="119">
        <v>15095.42</v>
      </c>
    </row>
    <row r="1999" spans="1:2" x14ac:dyDescent="0.35">
      <c r="A1999" s="118">
        <v>43129</v>
      </c>
      <c r="B1999" s="119">
        <v>15204.42</v>
      </c>
    </row>
    <row r="2000" spans="1:2" x14ac:dyDescent="0.35">
      <c r="A2000" s="118">
        <v>43125</v>
      </c>
      <c r="B2000" s="119">
        <v>15121</v>
      </c>
    </row>
    <row r="2001" spans="1:2" x14ac:dyDescent="0.35">
      <c r="A2001" s="118">
        <v>43124</v>
      </c>
      <c r="B2001" s="119">
        <v>15143.35</v>
      </c>
    </row>
    <row r="2002" spans="1:2" x14ac:dyDescent="0.35">
      <c r="A2002" s="118">
        <v>43123</v>
      </c>
      <c r="B2002" s="119">
        <v>15140.24</v>
      </c>
    </row>
    <row r="2003" spans="1:2" x14ac:dyDescent="0.35">
      <c r="A2003" s="118">
        <v>43122</v>
      </c>
      <c r="B2003" s="119">
        <v>14979.72</v>
      </c>
    </row>
    <row r="2004" spans="1:2" x14ac:dyDescent="0.35">
      <c r="A2004" s="118">
        <v>43119</v>
      </c>
      <c r="B2004" s="119">
        <v>14880.8</v>
      </c>
    </row>
    <row r="2005" spans="1:2" x14ac:dyDescent="0.35">
      <c r="A2005" s="118">
        <v>43118</v>
      </c>
      <c r="B2005" s="119">
        <v>14774.67</v>
      </c>
    </row>
    <row r="2006" spans="1:2" x14ac:dyDescent="0.35">
      <c r="A2006" s="118">
        <v>43117</v>
      </c>
      <c r="B2006" s="119">
        <v>14734.07</v>
      </c>
    </row>
    <row r="2007" spans="1:2" x14ac:dyDescent="0.35">
      <c r="A2007" s="118">
        <v>43116</v>
      </c>
      <c r="B2007" s="119">
        <v>14613.79</v>
      </c>
    </row>
    <row r="2008" spans="1:2" x14ac:dyDescent="0.35">
      <c r="A2008" s="118">
        <v>43115</v>
      </c>
      <c r="B2008" s="119">
        <v>14669.9</v>
      </c>
    </row>
    <row r="2009" spans="1:2" x14ac:dyDescent="0.35">
      <c r="A2009" s="118">
        <v>43112</v>
      </c>
      <c r="B2009" s="119">
        <v>14587.54</v>
      </c>
    </row>
    <row r="2010" spans="1:2" x14ac:dyDescent="0.35">
      <c r="A2010" s="118">
        <v>43111</v>
      </c>
      <c r="B2010" s="119">
        <v>14546.49</v>
      </c>
    </row>
    <row r="2011" spans="1:2" x14ac:dyDescent="0.35">
      <c r="A2011" s="118">
        <v>43110</v>
      </c>
      <c r="B2011" s="119">
        <v>14520.56</v>
      </c>
    </row>
    <row r="2012" spans="1:2" x14ac:dyDescent="0.35">
      <c r="A2012" s="118">
        <v>43109</v>
      </c>
      <c r="B2012" s="119">
        <v>14527.15</v>
      </c>
    </row>
    <row r="2013" spans="1:2" x14ac:dyDescent="0.35">
      <c r="A2013" s="118">
        <v>43108</v>
      </c>
      <c r="B2013" s="119">
        <v>14508.81</v>
      </c>
    </row>
    <row r="2014" spans="1:2" x14ac:dyDescent="0.35">
      <c r="A2014" s="118">
        <v>43105</v>
      </c>
      <c r="B2014" s="119">
        <v>14420.42</v>
      </c>
    </row>
    <row r="2015" spans="1:2" x14ac:dyDescent="0.35">
      <c r="A2015" s="118">
        <v>43104</v>
      </c>
      <c r="B2015" s="119">
        <v>14346.59</v>
      </c>
    </row>
    <row r="2016" spans="1:2" x14ac:dyDescent="0.35">
      <c r="A2016" s="118">
        <v>43103</v>
      </c>
      <c r="B2016" s="119">
        <v>14262.48</v>
      </c>
    </row>
    <row r="2017" spans="1:2" x14ac:dyDescent="0.35">
      <c r="A2017" s="118">
        <v>43102</v>
      </c>
      <c r="B2017" s="119">
        <v>14261.1</v>
      </c>
    </row>
    <row r="2018" spans="1:2" x14ac:dyDescent="0.35">
      <c r="A2018" s="118">
        <v>43101</v>
      </c>
      <c r="B2018" s="119">
        <v>14252.02</v>
      </c>
    </row>
    <row r="2019" spans="1:2" x14ac:dyDescent="0.35">
      <c r="A2019" s="118">
        <v>43098</v>
      </c>
      <c r="B2019" s="119">
        <v>14381.92</v>
      </c>
    </row>
    <row r="2020" spans="1:2" x14ac:dyDescent="0.35">
      <c r="A2020" s="118">
        <v>43097</v>
      </c>
      <c r="B2020" s="119">
        <v>14309.85</v>
      </c>
    </row>
    <row r="2021" spans="1:2" x14ac:dyDescent="0.35">
      <c r="A2021" s="118">
        <v>43096</v>
      </c>
      <c r="B2021" s="119">
        <v>14327.42</v>
      </c>
    </row>
    <row r="2022" spans="1:2" x14ac:dyDescent="0.35">
      <c r="A2022" s="118">
        <v>43095</v>
      </c>
      <c r="B2022" s="119">
        <v>14383.04</v>
      </c>
    </row>
    <row r="2023" spans="1:2" x14ac:dyDescent="0.35">
      <c r="A2023" s="118">
        <v>43091</v>
      </c>
      <c r="B2023" s="119">
        <v>14330.49</v>
      </c>
    </row>
    <row r="2024" spans="1:2" x14ac:dyDescent="0.35">
      <c r="A2024" s="118">
        <v>43090</v>
      </c>
      <c r="B2024" s="119">
        <v>14258.49</v>
      </c>
    </row>
    <row r="2025" spans="1:2" x14ac:dyDescent="0.35">
      <c r="A2025" s="118">
        <v>43089</v>
      </c>
      <c r="B2025" s="119">
        <v>14263.81</v>
      </c>
    </row>
    <row r="2026" spans="1:2" x14ac:dyDescent="0.35">
      <c r="A2026" s="118">
        <v>43088</v>
      </c>
      <c r="B2026" s="119">
        <v>14289.76</v>
      </c>
    </row>
    <row r="2027" spans="1:2" x14ac:dyDescent="0.35">
      <c r="A2027" s="118">
        <v>43087</v>
      </c>
      <c r="B2027" s="119">
        <v>14188.11</v>
      </c>
    </row>
    <row r="2028" spans="1:2" x14ac:dyDescent="0.35">
      <c r="A2028" s="118">
        <v>43084</v>
      </c>
      <c r="B2028" s="119">
        <v>14112.3</v>
      </c>
    </row>
    <row r="2029" spans="1:2" x14ac:dyDescent="0.35">
      <c r="A2029" s="118">
        <v>43083</v>
      </c>
      <c r="B2029" s="119">
        <v>14001.49</v>
      </c>
    </row>
    <row r="2030" spans="1:2" x14ac:dyDescent="0.35">
      <c r="A2030" s="118">
        <v>43082</v>
      </c>
      <c r="B2030" s="119">
        <v>13920.69</v>
      </c>
    </row>
    <row r="2031" spans="1:2" x14ac:dyDescent="0.35">
      <c r="A2031" s="118">
        <v>43081</v>
      </c>
      <c r="B2031" s="119">
        <v>13985.11</v>
      </c>
    </row>
    <row r="2032" spans="1:2" x14ac:dyDescent="0.35">
      <c r="A2032" s="118">
        <v>43080</v>
      </c>
      <c r="B2032" s="119">
        <v>14097.29</v>
      </c>
    </row>
    <row r="2033" spans="1:2" x14ac:dyDescent="0.35">
      <c r="A2033" s="118">
        <v>43077</v>
      </c>
      <c r="B2033" s="119">
        <v>14019.95</v>
      </c>
    </row>
    <row r="2034" spans="1:2" x14ac:dyDescent="0.35">
      <c r="A2034" s="118">
        <v>43076</v>
      </c>
      <c r="B2034" s="119">
        <v>13884.82</v>
      </c>
    </row>
    <row r="2035" spans="1:2" x14ac:dyDescent="0.35">
      <c r="A2035" s="118">
        <v>43075</v>
      </c>
      <c r="B2035" s="119">
        <v>13717.36</v>
      </c>
    </row>
    <row r="2036" spans="1:2" x14ac:dyDescent="0.35">
      <c r="A2036" s="118">
        <v>43074</v>
      </c>
      <c r="B2036" s="119">
        <v>13818.67</v>
      </c>
    </row>
    <row r="2037" spans="1:2" x14ac:dyDescent="0.35">
      <c r="A2037" s="118">
        <v>43073</v>
      </c>
      <c r="B2037" s="119">
        <v>13831.66</v>
      </c>
    </row>
    <row r="2038" spans="1:2" x14ac:dyDescent="0.35">
      <c r="A2038" s="118">
        <v>43070</v>
      </c>
      <c r="B2038" s="119">
        <v>13823.52</v>
      </c>
    </row>
    <row r="2039" spans="1:2" x14ac:dyDescent="0.35">
      <c r="A2039" s="118">
        <v>43069</v>
      </c>
      <c r="B2039" s="119">
        <v>13966.58</v>
      </c>
    </row>
    <row r="2040" spans="1:2" x14ac:dyDescent="0.35">
      <c r="A2040" s="118">
        <v>43068</v>
      </c>
      <c r="B2040" s="119">
        <v>14150.6</v>
      </c>
    </row>
    <row r="2041" spans="1:2" x14ac:dyDescent="0.35">
      <c r="A2041" s="118">
        <v>43067</v>
      </c>
      <c r="B2041" s="119">
        <v>14162.79</v>
      </c>
    </row>
    <row r="2042" spans="1:2" x14ac:dyDescent="0.35">
      <c r="A2042" s="118">
        <v>43066</v>
      </c>
      <c r="B2042" s="119">
        <v>14202.82</v>
      </c>
    </row>
    <row r="2043" spans="1:2" x14ac:dyDescent="0.35">
      <c r="A2043" s="118">
        <v>43063</v>
      </c>
      <c r="B2043" s="119">
        <v>14189.41</v>
      </c>
    </row>
    <row r="2044" spans="1:2" x14ac:dyDescent="0.35">
      <c r="A2044" s="118">
        <v>43062</v>
      </c>
      <c r="B2044" s="119">
        <v>14133.47</v>
      </c>
    </row>
    <row r="2045" spans="1:2" x14ac:dyDescent="0.35">
      <c r="A2045" s="118">
        <v>43061</v>
      </c>
      <c r="B2045" s="119">
        <v>14124.68</v>
      </c>
    </row>
    <row r="2046" spans="1:2" x14ac:dyDescent="0.35">
      <c r="A2046" s="118">
        <v>43060</v>
      </c>
      <c r="B2046" s="119">
        <v>14103.64</v>
      </c>
    </row>
    <row r="2047" spans="1:2" x14ac:dyDescent="0.35">
      <c r="A2047" s="118">
        <v>43059</v>
      </c>
      <c r="B2047" s="119">
        <v>14065.05</v>
      </c>
    </row>
    <row r="2048" spans="1:2" x14ac:dyDescent="0.35">
      <c r="A2048" s="118">
        <v>43056</v>
      </c>
      <c r="B2048" s="119">
        <v>14044.32</v>
      </c>
    </row>
    <row r="2049" spans="1:2" x14ac:dyDescent="0.35">
      <c r="A2049" s="118">
        <v>43055</v>
      </c>
      <c r="B2049" s="119">
        <v>13950.33</v>
      </c>
    </row>
    <row r="2050" spans="1:2" x14ac:dyDescent="0.35">
      <c r="A2050" s="118">
        <v>43054</v>
      </c>
      <c r="B2050" s="119">
        <v>13818.25</v>
      </c>
    </row>
    <row r="2051" spans="1:2" x14ac:dyDescent="0.35">
      <c r="A2051" s="118">
        <v>43053</v>
      </c>
      <c r="B2051" s="119">
        <v>13911.87</v>
      </c>
    </row>
    <row r="2052" spans="1:2" x14ac:dyDescent="0.35">
      <c r="A2052" s="118">
        <v>43052</v>
      </c>
      <c r="B2052" s="119">
        <v>13964.26</v>
      </c>
    </row>
    <row r="2053" spans="1:2" x14ac:dyDescent="0.35">
      <c r="A2053" s="118">
        <v>43049</v>
      </c>
      <c r="B2053" s="119">
        <v>14096.45</v>
      </c>
    </row>
    <row r="2054" spans="1:2" x14ac:dyDescent="0.35">
      <c r="A2054" s="118">
        <v>43048</v>
      </c>
      <c r="B2054" s="119">
        <v>14078.98</v>
      </c>
    </row>
    <row r="2055" spans="1:2" x14ac:dyDescent="0.35">
      <c r="A2055" s="118">
        <v>43047</v>
      </c>
      <c r="B2055" s="119">
        <v>14071.02</v>
      </c>
    </row>
    <row r="2056" spans="1:2" x14ac:dyDescent="0.35">
      <c r="A2056" s="118">
        <v>43046</v>
      </c>
      <c r="B2056" s="119">
        <v>14135.23</v>
      </c>
    </row>
    <row r="2057" spans="1:2" x14ac:dyDescent="0.35">
      <c r="A2057" s="118">
        <v>43045</v>
      </c>
      <c r="B2057" s="119">
        <v>14274.03</v>
      </c>
    </row>
    <row r="2058" spans="1:2" x14ac:dyDescent="0.35">
      <c r="A2058" s="118">
        <v>43042</v>
      </c>
      <c r="B2058" s="119">
        <v>14274.97</v>
      </c>
    </row>
    <row r="2059" spans="1:2" x14ac:dyDescent="0.35">
      <c r="A2059" s="118">
        <v>43041</v>
      </c>
      <c r="B2059" s="119">
        <v>14232.79</v>
      </c>
    </row>
    <row r="2060" spans="1:2" x14ac:dyDescent="0.35">
      <c r="A2060" s="118">
        <v>43040</v>
      </c>
      <c r="B2060" s="119">
        <v>14255.58</v>
      </c>
    </row>
    <row r="2061" spans="1:2" x14ac:dyDescent="0.35">
      <c r="A2061" s="118">
        <v>43039</v>
      </c>
      <c r="B2061" s="119">
        <v>14108.55</v>
      </c>
    </row>
    <row r="2062" spans="1:2" x14ac:dyDescent="0.35">
      <c r="A2062" s="118">
        <v>43038</v>
      </c>
      <c r="B2062" s="119">
        <v>14137.62</v>
      </c>
    </row>
    <row r="2063" spans="1:2" x14ac:dyDescent="0.35">
      <c r="A2063" s="118">
        <v>43035</v>
      </c>
      <c r="B2063" s="119">
        <v>14082.21</v>
      </c>
    </row>
    <row r="2064" spans="1:2" x14ac:dyDescent="0.35">
      <c r="A2064" s="118">
        <v>43034</v>
      </c>
      <c r="B2064" s="119">
        <v>14110.5</v>
      </c>
    </row>
    <row r="2065" spans="1:2" x14ac:dyDescent="0.35">
      <c r="A2065" s="118">
        <v>43033</v>
      </c>
      <c r="B2065" s="119">
        <v>14044.44</v>
      </c>
    </row>
    <row r="2066" spans="1:2" x14ac:dyDescent="0.35">
      <c r="A2066" s="118">
        <v>43032</v>
      </c>
      <c r="B2066" s="119">
        <v>13923.61</v>
      </c>
    </row>
    <row r="2067" spans="1:2" x14ac:dyDescent="0.35">
      <c r="A2067" s="118">
        <v>43031</v>
      </c>
      <c r="B2067" s="119">
        <v>13892.48</v>
      </c>
    </row>
    <row r="2068" spans="1:2" x14ac:dyDescent="0.35">
      <c r="A2068" s="118">
        <v>43027</v>
      </c>
      <c r="B2068" s="119">
        <v>13840.24</v>
      </c>
    </row>
    <row r="2069" spans="1:2" x14ac:dyDescent="0.35">
      <c r="A2069" s="118">
        <v>43026</v>
      </c>
      <c r="B2069" s="119">
        <v>13927.92</v>
      </c>
    </row>
    <row r="2070" spans="1:2" x14ac:dyDescent="0.35">
      <c r="A2070" s="118">
        <v>43025</v>
      </c>
      <c r="B2070" s="119">
        <v>13960.09</v>
      </c>
    </row>
    <row r="2071" spans="1:2" x14ac:dyDescent="0.35">
      <c r="A2071" s="118">
        <v>43024</v>
      </c>
      <c r="B2071" s="119">
        <v>13955.22</v>
      </c>
    </row>
    <row r="2072" spans="1:2" x14ac:dyDescent="0.35">
      <c r="A2072" s="118">
        <v>43021</v>
      </c>
      <c r="B2072" s="119">
        <v>13868.7</v>
      </c>
    </row>
    <row r="2073" spans="1:2" x14ac:dyDescent="0.35">
      <c r="A2073" s="118">
        <v>43020</v>
      </c>
      <c r="B2073" s="119">
        <v>13771.84</v>
      </c>
    </row>
    <row r="2074" spans="1:2" x14ac:dyDescent="0.35">
      <c r="A2074" s="118">
        <v>43019</v>
      </c>
      <c r="B2074" s="119">
        <v>13619.62</v>
      </c>
    </row>
    <row r="2075" spans="1:2" x14ac:dyDescent="0.35">
      <c r="A2075" s="118">
        <v>43018</v>
      </c>
      <c r="B2075" s="119">
        <v>13663.44</v>
      </c>
    </row>
    <row r="2076" spans="1:2" x14ac:dyDescent="0.35">
      <c r="A2076" s="118">
        <v>43017</v>
      </c>
      <c r="B2076" s="119">
        <v>13625</v>
      </c>
    </row>
    <row r="2077" spans="1:2" x14ac:dyDescent="0.35">
      <c r="A2077" s="118">
        <v>43014</v>
      </c>
      <c r="B2077" s="119">
        <v>13612.63</v>
      </c>
    </row>
    <row r="2078" spans="1:2" x14ac:dyDescent="0.35">
      <c r="A2078" s="118">
        <v>43013</v>
      </c>
      <c r="B2078" s="119">
        <v>13488.48</v>
      </c>
    </row>
    <row r="2079" spans="1:2" x14ac:dyDescent="0.35">
      <c r="A2079" s="118">
        <v>43012</v>
      </c>
      <c r="B2079" s="119">
        <v>13524.27</v>
      </c>
    </row>
    <row r="2080" spans="1:2" x14ac:dyDescent="0.35">
      <c r="A2080" s="118">
        <v>43011</v>
      </c>
      <c r="B2080" s="119">
        <v>13448.66</v>
      </c>
    </row>
    <row r="2081" spans="1:2" x14ac:dyDescent="0.35">
      <c r="A2081" s="118">
        <v>43007</v>
      </c>
      <c r="B2081" s="119">
        <v>13351.99</v>
      </c>
    </row>
    <row r="2082" spans="1:2" x14ac:dyDescent="0.35">
      <c r="A2082" s="118">
        <v>43006</v>
      </c>
      <c r="B2082" s="119">
        <v>13325.16</v>
      </c>
    </row>
    <row r="2083" spans="1:2" x14ac:dyDescent="0.35">
      <c r="A2083" s="118">
        <v>43005</v>
      </c>
      <c r="B2083" s="119">
        <v>13279.85</v>
      </c>
    </row>
    <row r="2084" spans="1:2" x14ac:dyDescent="0.35">
      <c r="A2084" s="118">
        <v>43004</v>
      </c>
      <c r="B2084" s="119">
        <v>13465.07</v>
      </c>
    </row>
    <row r="2085" spans="1:2" x14ac:dyDescent="0.35">
      <c r="A2085" s="118">
        <v>43003</v>
      </c>
      <c r="B2085" s="119">
        <v>13466.53</v>
      </c>
    </row>
    <row r="2086" spans="1:2" x14ac:dyDescent="0.35">
      <c r="A2086" s="118">
        <v>43000</v>
      </c>
      <c r="B2086" s="119">
        <v>13591.79</v>
      </c>
    </row>
    <row r="2087" spans="1:2" x14ac:dyDescent="0.35">
      <c r="A2087" s="118">
        <v>42999</v>
      </c>
      <c r="B2087" s="119">
        <v>13806.6</v>
      </c>
    </row>
    <row r="2088" spans="1:2" x14ac:dyDescent="0.35">
      <c r="A2088" s="118">
        <v>42998</v>
      </c>
      <c r="B2088" s="119">
        <v>13832.04</v>
      </c>
    </row>
    <row r="2089" spans="1:2" x14ac:dyDescent="0.35">
      <c r="A2089" s="118">
        <v>42997</v>
      </c>
      <c r="B2089" s="119">
        <v>13840.78</v>
      </c>
    </row>
    <row r="2090" spans="1:2" x14ac:dyDescent="0.35">
      <c r="A2090" s="118">
        <v>42996</v>
      </c>
      <c r="B2090" s="119">
        <v>13848.34</v>
      </c>
    </row>
    <row r="2091" spans="1:2" x14ac:dyDescent="0.35">
      <c r="A2091" s="118">
        <v>42993</v>
      </c>
      <c r="B2091" s="119">
        <v>13754.62</v>
      </c>
    </row>
    <row r="2092" spans="1:2" x14ac:dyDescent="0.35">
      <c r="A2092" s="118">
        <v>42992</v>
      </c>
      <c r="B2092" s="119">
        <v>13756.28</v>
      </c>
    </row>
    <row r="2093" spans="1:2" x14ac:dyDescent="0.35">
      <c r="A2093" s="118">
        <v>42991</v>
      </c>
      <c r="B2093" s="119">
        <v>13746.3</v>
      </c>
    </row>
    <row r="2094" spans="1:2" x14ac:dyDescent="0.35">
      <c r="A2094" s="118">
        <v>42990</v>
      </c>
      <c r="B2094" s="119">
        <v>13765.03</v>
      </c>
    </row>
    <row r="2095" spans="1:2" x14ac:dyDescent="0.35">
      <c r="A2095" s="118">
        <v>42989</v>
      </c>
      <c r="B2095" s="119">
        <v>13646.37</v>
      </c>
    </row>
    <row r="2096" spans="1:2" x14ac:dyDescent="0.35">
      <c r="A2096" s="118">
        <v>42986</v>
      </c>
      <c r="B2096" s="119">
        <v>13546.57</v>
      </c>
    </row>
    <row r="2097" spans="1:2" x14ac:dyDescent="0.35">
      <c r="A2097" s="118">
        <v>42985</v>
      </c>
      <c r="B2097" s="119">
        <v>13539.91</v>
      </c>
    </row>
    <row r="2098" spans="1:2" x14ac:dyDescent="0.35">
      <c r="A2098" s="118">
        <v>42984</v>
      </c>
      <c r="B2098" s="119">
        <v>13519.3</v>
      </c>
    </row>
    <row r="2099" spans="1:2" x14ac:dyDescent="0.35">
      <c r="A2099" s="118">
        <v>42983</v>
      </c>
      <c r="B2099" s="119">
        <v>13568.38</v>
      </c>
    </row>
    <row r="2100" spans="1:2" x14ac:dyDescent="0.35">
      <c r="A2100" s="118">
        <v>42982</v>
      </c>
      <c r="B2100" s="119">
        <v>13514.16</v>
      </c>
    </row>
    <row r="2101" spans="1:2" x14ac:dyDescent="0.35">
      <c r="A2101" s="118">
        <v>42979</v>
      </c>
      <c r="B2101" s="119">
        <v>13598.09</v>
      </c>
    </row>
    <row r="2102" spans="1:2" x14ac:dyDescent="0.35">
      <c r="A2102" s="118">
        <v>42978</v>
      </c>
      <c r="B2102" s="119">
        <v>13521.03</v>
      </c>
    </row>
    <row r="2103" spans="1:2" x14ac:dyDescent="0.35">
      <c r="A2103" s="118">
        <v>42977</v>
      </c>
      <c r="B2103" s="119">
        <v>13474.73</v>
      </c>
    </row>
    <row r="2104" spans="1:2" x14ac:dyDescent="0.35">
      <c r="A2104" s="118">
        <v>42976</v>
      </c>
      <c r="B2104" s="119">
        <v>13354.29</v>
      </c>
    </row>
    <row r="2105" spans="1:2" x14ac:dyDescent="0.35">
      <c r="A2105" s="118">
        <v>42975</v>
      </c>
      <c r="B2105" s="119">
        <v>13513.48</v>
      </c>
    </row>
    <row r="2106" spans="1:2" x14ac:dyDescent="0.35">
      <c r="A2106" s="118">
        <v>42971</v>
      </c>
      <c r="B2106" s="119">
        <v>13437.45</v>
      </c>
    </row>
    <row r="2107" spans="1:2" x14ac:dyDescent="0.35">
      <c r="A2107" s="118">
        <v>42970</v>
      </c>
      <c r="B2107" s="119">
        <v>13427.67</v>
      </c>
    </row>
    <row r="2108" spans="1:2" x14ac:dyDescent="0.35">
      <c r="A2108" s="118">
        <v>42969</v>
      </c>
      <c r="B2108" s="119">
        <v>13309.14</v>
      </c>
    </row>
    <row r="2109" spans="1:2" x14ac:dyDescent="0.35">
      <c r="A2109" s="118">
        <v>42968</v>
      </c>
      <c r="B2109" s="119">
        <v>13293.88</v>
      </c>
    </row>
    <row r="2110" spans="1:2" x14ac:dyDescent="0.35">
      <c r="A2110" s="118">
        <v>42965</v>
      </c>
      <c r="B2110" s="119">
        <v>13407.07</v>
      </c>
    </row>
    <row r="2111" spans="1:2" x14ac:dyDescent="0.35">
      <c r="A2111" s="118">
        <v>42964</v>
      </c>
      <c r="B2111" s="119">
        <v>13497.69</v>
      </c>
    </row>
    <row r="2112" spans="1:2" x14ac:dyDescent="0.35">
      <c r="A2112" s="118">
        <v>42963</v>
      </c>
      <c r="B2112" s="119">
        <v>13488.33</v>
      </c>
    </row>
    <row r="2113" spans="1:2" x14ac:dyDescent="0.35">
      <c r="A2113" s="118">
        <v>42961</v>
      </c>
      <c r="B2113" s="119">
        <v>13347.75</v>
      </c>
    </row>
    <row r="2114" spans="1:2" x14ac:dyDescent="0.35">
      <c r="A2114" s="118">
        <v>42958</v>
      </c>
      <c r="B2114" s="119">
        <v>13234.2</v>
      </c>
    </row>
    <row r="2115" spans="1:2" x14ac:dyDescent="0.35">
      <c r="A2115" s="118">
        <v>42957</v>
      </c>
      <c r="B2115" s="119">
        <v>13377.05</v>
      </c>
    </row>
    <row r="2116" spans="1:2" x14ac:dyDescent="0.35">
      <c r="A2116" s="118">
        <v>42956</v>
      </c>
      <c r="B2116" s="119">
        <v>13495.81</v>
      </c>
    </row>
    <row r="2117" spans="1:2" x14ac:dyDescent="0.35">
      <c r="A2117" s="118">
        <v>42955</v>
      </c>
      <c r="B2117" s="119">
        <v>13591.81</v>
      </c>
    </row>
    <row r="2118" spans="1:2" x14ac:dyDescent="0.35">
      <c r="A2118" s="118">
        <v>42954</v>
      </c>
      <c r="B2118" s="119">
        <v>13699.21</v>
      </c>
    </row>
    <row r="2119" spans="1:2" x14ac:dyDescent="0.35">
      <c r="A2119" s="118">
        <v>42951</v>
      </c>
      <c r="B2119" s="119">
        <v>13711.47</v>
      </c>
    </row>
    <row r="2120" spans="1:2" x14ac:dyDescent="0.35">
      <c r="A2120" s="118">
        <v>42950</v>
      </c>
      <c r="B2120" s="119">
        <v>13639.66</v>
      </c>
    </row>
    <row r="2121" spans="1:2" x14ac:dyDescent="0.35">
      <c r="A2121" s="118">
        <v>42949</v>
      </c>
      <c r="B2121" s="119">
        <v>13731.63</v>
      </c>
    </row>
    <row r="2122" spans="1:2" x14ac:dyDescent="0.35">
      <c r="A2122" s="118">
        <v>42948</v>
      </c>
      <c r="B2122" s="119">
        <v>13775.33</v>
      </c>
    </row>
    <row r="2123" spans="1:2" x14ac:dyDescent="0.35">
      <c r="A2123" s="118">
        <v>42947</v>
      </c>
      <c r="B2123" s="119">
        <v>13724.19</v>
      </c>
    </row>
    <row r="2124" spans="1:2" x14ac:dyDescent="0.35">
      <c r="A2124" s="118">
        <v>42944</v>
      </c>
      <c r="B2124" s="119">
        <v>13638.1</v>
      </c>
    </row>
    <row r="2125" spans="1:2" x14ac:dyDescent="0.35">
      <c r="A2125" s="118">
        <v>42943</v>
      </c>
      <c r="B2125" s="119">
        <v>13646.34</v>
      </c>
    </row>
    <row r="2126" spans="1:2" x14ac:dyDescent="0.35">
      <c r="A2126" s="118">
        <v>42942</v>
      </c>
      <c r="B2126" s="119">
        <v>13644.46</v>
      </c>
    </row>
    <row r="2127" spans="1:2" x14ac:dyDescent="0.35">
      <c r="A2127" s="118">
        <v>42941</v>
      </c>
      <c r="B2127" s="119">
        <v>13567.66</v>
      </c>
    </row>
    <row r="2128" spans="1:2" x14ac:dyDescent="0.35">
      <c r="A2128" s="118">
        <v>42940</v>
      </c>
      <c r="B2128" s="119">
        <v>13569.88</v>
      </c>
    </row>
    <row r="2129" spans="1:2" x14ac:dyDescent="0.35">
      <c r="A2129" s="118">
        <v>42937</v>
      </c>
      <c r="B2129" s="119">
        <v>13498.25</v>
      </c>
    </row>
    <row r="2130" spans="1:2" x14ac:dyDescent="0.35">
      <c r="A2130" s="118">
        <v>42936</v>
      </c>
      <c r="B2130" s="119">
        <v>13441.11</v>
      </c>
    </row>
    <row r="2131" spans="1:2" x14ac:dyDescent="0.35">
      <c r="A2131" s="118">
        <v>42935</v>
      </c>
      <c r="B2131" s="119">
        <v>13473.52</v>
      </c>
    </row>
    <row r="2132" spans="1:2" x14ac:dyDescent="0.35">
      <c r="A2132" s="118">
        <v>42934</v>
      </c>
      <c r="B2132" s="119">
        <v>13374.92</v>
      </c>
    </row>
    <row r="2133" spans="1:2" x14ac:dyDescent="0.35">
      <c r="A2133" s="118">
        <v>42933</v>
      </c>
      <c r="B2133" s="119">
        <v>13494.64</v>
      </c>
    </row>
    <row r="2134" spans="1:2" x14ac:dyDescent="0.35">
      <c r="A2134" s="118">
        <v>42930</v>
      </c>
      <c r="B2134" s="119">
        <v>13453.49</v>
      </c>
    </row>
    <row r="2135" spans="1:2" x14ac:dyDescent="0.35">
      <c r="A2135" s="118">
        <v>42929</v>
      </c>
      <c r="B2135" s="119">
        <v>13452.22</v>
      </c>
    </row>
    <row r="2136" spans="1:2" x14ac:dyDescent="0.35">
      <c r="A2136" s="118">
        <v>42928</v>
      </c>
      <c r="B2136" s="119">
        <v>13340.24</v>
      </c>
    </row>
    <row r="2137" spans="1:2" x14ac:dyDescent="0.35">
      <c r="A2137" s="118">
        <v>42927</v>
      </c>
      <c r="B2137" s="119">
        <v>13299.17</v>
      </c>
    </row>
    <row r="2138" spans="1:2" x14ac:dyDescent="0.35">
      <c r="A2138" s="118">
        <v>42926</v>
      </c>
      <c r="B2138" s="119">
        <v>13278.81</v>
      </c>
    </row>
    <row r="2139" spans="1:2" x14ac:dyDescent="0.35">
      <c r="A2139" s="118">
        <v>42923</v>
      </c>
      <c r="B2139" s="119">
        <v>13135.35</v>
      </c>
    </row>
    <row r="2140" spans="1:2" x14ac:dyDescent="0.35">
      <c r="A2140" s="118">
        <v>42922</v>
      </c>
      <c r="B2140" s="119">
        <v>13147.27</v>
      </c>
    </row>
    <row r="2141" spans="1:2" x14ac:dyDescent="0.35">
      <c r="A2141" s="118">
        <v>42921</v>
      </c>
      <c r="B2141" s="119">
        <v>13091.36</v>
      </c>
    </row>
    <row r="2142" spans="1:2" x14ac:dyDescent="0.35">
      <c r="A2142" s="118">
        <v>42920</v>
      </c>
      <c r="B2142" s="119">
        <v>13057.86</v>
      </c>
    </row>
    <row r="2143" spans="1:2" x14ac:dyDescent="0.35">
      <c r="A2143" s="118">
        <v>42919</v>
      </c>
      <c r="B2143" s="119">
        <v>13060.15</v>
      </c>
    </row>
    <row r="2144" spans="1:2" x14ac:dyDescent="0.35">
      <c r="A2144" s="118">
        <v>42916</v>
      </c>
      <c r="B2144" s="119">
        <v>12932.33</v>
      </c>
    </row>
    <row r="2145" spans="1:2" x14ac:dyDescent="0.35">
      <c r="A2145" s="118">
        <v>42915</v>
      </c>
      <c r="B2145" s="119">
        <v>12908.13</v>
      </c>
    </row>
    <row r="2146" spans="1:2" x14ac:dyDescent="0.35">
      <c r="A2146" s="118">
        <v>42914</v>
      </c>
      <c r="B2146" s="119">
        <v>12882.7</v>
      </c>
    </row>
    <row r="2147" spans="1:2" x14ac:dyDescent="0.35">
      <c r="A2147" s="118">
        <v>42913</v>
      </c>
      <c r="B2147" s="119">
        <v>12910.01</v>
      </c>
    </row>
    <row r="2148" spans="1:2" x14ac:dyDescent="0.35">
      <c r="A2148" s="118">
        <v>42909</v>
      </c>
      <c r="B2148" s="119">
        <v>12996.3</v>
      </c>
    </row>
    <row r="2149" spans="1:2" x14ac:dyDescent="0.35">
      <c r="A2149" s="118">
        <v>42908</v>
      </c>
      <c r="B2149" s="119">
        <v>13070.98</v>
      </c>
    </row>
    <row r="2150" spans="1:2" x14ac:dyDescent="0.35">
      <c r="A2150" s="118">
        <v>42907</v>
      </c>
      <c r="B2150" s="119">
        <v>13072.91</v>
      </c>
    </row>
    <row r="2151" spans="1:2" x14ac:dyDescent="0.35">
      <c r="A2151" s="118">
        <v>42906</v>
      </c>
      <c r="B2151" s="119">
        <v>13099.92</v>
      </c>
    </row>
    <row r="2152" spans="1:2" x14ac:dyDescent="0.35">
      <c r="A2152" s="118">
        <v>42905</v>
      </c>
      <c r="B2152" s="119">
        <v>13100.15</v>
      </c>
    </row>
    <row r="2153" spans="1:2" x14ac:dyDescent="0.35">
      <c r="A2153" s="118">
        <v>42902</v>
      </c>
      <c r="B2153" s="119">
        <v>13005.86</v>
      </c>
    </row>
    <row r="2154" spans="1:2" x14ac:dyDescent="0.35">
      <c r="A2154" s="118">
        <v>42901</v>
      </c>
      <c r="B2154" s="119">
        <v>12992.34</v>
      </c>
    </row>
    <row r="2155" spans="1:2" x14ac:dyDescent="0.35">
      <c r="A2155" s="118">
        <v>42900</v>
      </c>
      <c r="B2155" s="119">
        <v>13045.44</v>
      </c>
    </row>
    <row r="2156" spans="1:2" x14ac:dyDescent="0.35">
      <c r="A2156" s="118">
        <v>42899</v>
      </c>
      <c r="B2156" s="119">
        <v>13030.22</v>
      </c>
    </row>
    <row r="2157" spans="1:2" x14ac:dyDescent="0.35">
      <c r="A2157" s="118">
        <v>42898</v>
      </c>
      <c r="B2157" s="119">
        <v>13037.83</v>
      </c>
    </row>
    <row r="2158" spans="1:2" x14ac:dyDescent="0.35">
      <c r="A2158" s="118">
        <v>42895</v>
      </c>
      <c r="B2158" s="119">
        <v>13108.12</v>
      </c>
    </row>
    <row r="2159" spans="1:2" x14ac:dyDescent="0.35">
      <c r="A2159" s="118">
        <v>42894</v>
      </c>
      <c r="B2159" s="119">
        <v>13079.63</v>
      </c>
    </row>
    <row r="2160" spans="1:2" x14ac:dyDescent="0.35">
      <c r="A2160" s="118">
        <v>42893</v>
      </c>
      <c r="B2160" s="119">
        <v>13101.62</v>
      </c>
    </row>
    <row r="2161" spans="1:2" x14ac:dyDescent="0.35">
      <c r="A2161" s="118">
        <v>42892</v>
      </c>
      <c r="B2161" s="119">
        <v>13065.33</v>
      </c>
    </row>
    <row r="2162" spans="1:2" x14ac:dyDescent="0.35">
      <c r="A2162" s="118">
        <v>42891</v>
      </c>
      <c r="B2162" s="119">
        <v>13116.78</v>
      </c>
    </row>
    <row r="2163" spans="1:2" x14ac:dyDescent="0.35">
      <c r="A2163" s="118">
        <v>42888</v>
      </c>
      <c r="B2163" s="119">
        <v>13072.98</v>
      </c>
    </row>
    <row r="2164" spans="1:2" x14ac:dyDescent="0.35">
      <c r="A2164" s="118">
        <v>42887</v>
      </c>
      <c r="B2164" s="119">
        <v>13022.35</v>
      </c>
    </row>
    <row r="2165" spans="1:2" x14ac:dyDescent="0.35">
      <c r="A2165" s="118">
        <v>42886</v>
      </c>
      <c r="B2165" s="119">
        <v>13018.69</v>
      </c>
    </row>
    <row r="2166" spans="1:2" x14ac:dyDescent="0.35">
      <c r="A2166" s="118">
        <v>42885</v>
      </c>
      <c r="B2166" s="119">
        <v>13023.19</v>
      </c>
    </row>
    <row r="2167" spans="1:2" x14ac:dyDescent="0.35">
      <c r="A2167" s="118">
        <v>42884</v>
      </c>
      <c r="B2167" s="119">
        <v>12996.61</v>
      </c>
    </row>
    <row r="2168" spans="1:2" x14ac:dyDescent="0.35">
      <c r="A2168" s="118">
        <v>42881</v>
      </c>
      <c r="B2168" s="119">
        <v>12981.79</v>
      </c>
    </row>
    <row r="2169" spans="1:2" x14ac:dyDescent="0.35">
      <c r="A2169" s="118">
        <v>42880</v>
      </c>
      <c r="B2169" s="119">
        <v>12863.38</v>
      </c>
    </row>
    <row r="2170" spans="1:2" x14ac:dyDescent="0.35">
      <c r="A2170" s="118">
        <v>42879</v>
      </c>
      <c r="B2170" s="119">
        <v>12661.62</v>
      </c>
    </row>
    <row r="2171" spans="1:2" x14ac:dyDescent="0.35">
      <c r="A2171" s="118">
        <v>42878</v>
      </c>
      <c r="B2171" s="119">
        <v>12695.02</v>
      </c>
    </row>
    <row r="2172" spans="1:2" x14ac:dyDescent="0.35">
      <c r="A2172" s="118">
        <v>42877</v>
      </c>
      <c r="B2172" s="119">
        <v>12765.48</v>
      </c>
    </row>
    <row r="2173" spans="1:2" x14ac:dyDescent="0.35">
      <c r="A2173" s="118">
        <v>42874</v>
      </c>
      <c r="B2173" s="119">
        <v>12751.43</v>
      </c>
    </row>
    <row r="2174" spans="1:2" x14ac:dyDescent="0.35">
      <c r="A2174" s="118">
        <v>42873</v>
      </c>
      <c r="B2174" s="119">
        <v>12753.55</v>
      </c>
    </row>
    <row r="2175" spans="1:2" x14ac:dyDescent="0.35">
      <c r="A2175" s="118">
        <v>42872</v>
      </c>
      <c r="B2175" s="119">
        <v>12883.83</v>
      </c>
    </row>
    <row r="2176" spans="1:2" x14ac:dyDescent="0.35">
      <c r="A2176" s="118">
        <v>42871</v>
      </c>
      <c r="B2176" s="119">
        <v>12865.56</v>
      </c>
    </row>
    <row r="2177" spans="1:2" x14ac:dyDescent="0.35">
      <c r="A2177" s="118">
        <v>42870</v>
      </c>
      <c r="B2177" s="119">
        <v>12775.11</v>
      </c>
    </row>
    <row r="2178" spans="1:2" x14ac:dyDescent="0.35">
      <c r="A2178" s="118">
        <v>42867</v>
      </c>
      <c r="B2178" s="119">
        <v>12714.97</v>
      </c>
    </row>
    <row r="2179" spans="1:2" x14ac:dyDescent="0.35">
      <c r="A2179" s="118">
        <v>42866</v>
      </c>
      <c r="B2179" s="119">
        <v>12743.99</v>
      </c>
    </row>
    <row r="2180" spans="1:2" x14ac:dyDescent="0.35">
      <c r="A2180" s="118">
        <v>42865</v>
      </c>
      <c r="B2180" s="119">
        <v>12723.6</v>
      </c>
    </row>
    <row r="2181" spans="1:2" x14ac:dyDescent="0.35">
      <c r="A2181" s="118">
        <v>42864</v>
      </c>
      <c r="B2181" s="119">
        <v>12601.23</v>
      </c>
    </row>
    <row r="2182" spans="1:2" x14ac:dyDescent="0.35">
      <c r="A2182" s="118">
        <v>42863</v>
      </c>
      <c r="B2182" s="119">
        <v>12597.5</v>
      </c>
    </row>
    <row r="2183" spans="1:2" x14ac:dyDescent="0.35">
      <c r="A2183" s="118">
        <v>42860</v>
      </c>
      <c r="B2183" s="119">
        <v>12558.6</v>
      </c>
    </row>
    <row r="2184" spans="1:2" x14ac:dyDescent="0.35">
      <c r="A2184" s="118">
        <v>42859</v>
      </c>
      <c r="B2184" s="119">
        <v>12659.51</v>
      </c>
    </row>
    <row r="2185" spans="1:2" x14ac:dyDescent="0.35">
      <c r="A2185" s="118">
        <v>42858</v>
      </c>
      <c r="B2185" s="119">
        <v>12593.58</v>
      </c>
    </row>
    <row r="2186" spans="1:2" x14ac:dyDescent="0.35">
      <c r="A2186" s="118">
        <v>42857</v>
      </c>
      <c r="B2186" s="119">
        <v>12596.08</v>
      </c>
    </row>
    <row r="2187" spans="1:2" x14ac:dyDescent="0.35">
      <c r="A2187" s="118">
        <v>42853</v>
      </c>
      <c r="B2187" s="119">
        <v>12582.88</v>
      </c>
    </row>
    <row r="2188" spans="1:2" x14ac:dyDescent="0.35">
      <c r="A2188" s="118">
        <v>42852</v>
      </c>
      <c r="B2188" s="119">
        <v>12634.41</v>
      </c>
    </row>
    <row r="2189" spans="1:2" x14ac:dyDescent="0.35">
      <c r="A2189" s="118">
        <v>42851</v>
      </c>
      <c r="B2189" s="119">
        <v>12647.53</v>
      </c>
    </row>
    <row r="2190" spans="1:2" x14ac:dyDescent="0.35">
      <c r="A2190" s="118">
        <v>42850</v>
      </c>
      <c r="B2190" s="119">
        <v>12586.34</v>
      </c>
    </row>
    <row r="2191" spans="1:2" x14ac:dyDescent="0.35">
      <c r="A2191" s="118">
        <v>42849</v>
      </c>
      <c r="B2191" s="119">
        <v>12466.46</v>
      </c>
    </row>
    <row r="2192" spans="1:2" x14ac:dyDescent="0.35">
      <c r="A2192" s="118">
        <v>42846</v>
      </c>
      <c r="B2192" s="119">
        <v>12333.17</v>
      </c>
    </row>
    <row r="2193" spans="1:2" x14ac:dyDescent="0.35">
      <c r="A2193" s="118">
        <v>42845</v>
      </c>
      <c r="B2193" s="119">
        <v>12356.2</v>
      </c>
    </row>
    <row r="2194" spans="1:2" x14ac:dyDescent="0.35">
      <c r="A2194" s="118">
        <v>42844</v>
      </c>
      <c r="B2194" s="119">
        <v>12311.67</v>
      </c>
    </row>
    <row r="2195" spans="1:2" x14ac:dyDescent="0.35">
      <c r="A2195" s="118">
        <v>42843</v>
      </c>
      <c r="B2195" s="119">
        <v>12313.9</v>
      </c>
    </row>
    <row r="2196" spans="1:2" x14ac:dyDescent="0.35">
      <c r="A2196" s="118">
        <v>42842</v>
      </c>
      <c r="B2196" s="119">
        <v>12360.11</v>
      </c>
    </row>
    <row r="2197" spans="1:2" x14ac:dyDescent="0.35">
      <c r="A2197" s="118">
        <v>42838</v>
      </c>
      <c r="B2197" s="119">
        <v>12375.68</v>
      </c>
    </row>
    <row r="2198" spans="1:2" x14ac:dyDescent="0.35">
      <c r="A2198" s="118">
        <v>42837</v>
      </c>
      <c r="B2198" s="119">
        <v>12446.84</v>
      </c>
    </row>
    <row r="2199" spans="1:2" x14ac:dyDescent="0.35">
      <c r="A2199" s="118">
        <v>42836</v>
      </c>
      <c r="B2199" s="119">
        <v>12492.24</v>
      </c>
    </row>
    <row r="2200" spans="1:2" x14ac:dyDescent="0.35">
      <c r="A2200" s="118">
        <v>42835</v>
      </c>
      <c r="B2200" s="119">
        <v>12417.07</v>
      </c>
    </row>
    <row r="2201" spans="1:2" x14ac:dyDescent="0.35">
      <c r="A2201" s="118">
        <v>42832</v>
      </c>
      <c r="B2201" s="119">
        <v>12439.9</v>
      </c>
    </row>
    <row r="2202" spans="1:2" x14ac:dyDescent="0.35">
      <c r="A2202" s="118">
        <v>42831</v>
      </c>
      <c r="B2202" s="119">
        <v>12525.97</v>
      </c>
    </row>
    <row r="2203" spans="1:2" x14ac:dyDescent="0.35">
      <c r="A2203" s="118">
        <v>42830</v>
      </c>
      <c r="B2203" s="119">
        <v>12530.31</v>
      </c>
    </row>
    <row r="2204" spans="1:2" x14ac:dyDescent="0.35">
      <c r="A2204" s="118">
        <v>42828</v>
      </c>
      <c r="B2204" s="119">
        <v>12493.39</v>
      </c>
    </row>
    <row r="2205" spans="1:2" x14ac:dyDescent="0.35">
      <c r="A2205" s="118">
        <v>42825</v>
      </c>
      <c r="B2205" s="119">
        <v>12406.69</v>
      </c>
    </row>
    <row r="2206" spans="1:2" x14ac:dyDescent="0.35">
      <c r="A2206" s="118">
        <v>42824</v>
      </c>
      <c r="B2206" s="119">
        <v>12404.41</v>
      </c>
    </row>
    <row r="2207" spans="1:2" x14ac:dyDescent="0.35">
      <c r="A2207" s="118">
        <v>42823</v>
      </c>
      <c r="B2207" s="119">
        <v>12363.95</v>
      </c>
    </row>
    <row r="2208" spans="1:2" x14ac:dyDescent="0.35">
      <c r="A2208" s="118">
        <v>42822</v>
      </c>
      <c r="B2208" s="119">
        <v>12305.77</v>
      </c>
    </row>
    <row r="2209" spans="1:2" x14ac:dyDescent="0.35">
      <c r="A2209" s="118">
        <v>42821</v>
      </c>
      <c r="B2209" s="119">
        <v>12230.63</v>
      </c>
    </row>
    <row r="2210" spans="1:2" x14ac:dyDescent="0.35">
      <c r="A2210" s="118">
        <v>42818</v>
      </c>
      <c r="B2210" s="119">
        <v>12314.98</v>
      </c>
    </row>
    <row r="2211" spans="1:2" x14ac:dyDescent="0.35">
      <c r="A2211" s="118">
        <v>42817</v>
      </c>
      <c r="B2211" s="119">
        <v>12283.35</v>
      </c>
    </row>
    <row r="2212" spans="1:2" x14ac:dyDescent="0.35">
      <c r="A2212" s="118">
        <v>42816</v>
      </c>
      <c r="B2212" s="119">
        <v>12207.85</v>
      </c>
    </row>
    <row r="2213" spans="1:2" x14ac:dyDescent="0.35">
      <c r="A2213" s="118">
        <v>42815</v>
      </c>
      <c r="B2213" s="119">
        <v>12330.92</v>
      </c>
    </row>
    <row r="2214" spans="1:2" x14ac:dyDescent="0.35">
      <c r="A2214" s="118">
        <v>42814</v>
      </c>
      <c r="B2214" s="119">
        <v>12338.14</v>
      </c>
    </row>
    <row r="2215" spans="1:2" x14ac:dyDescent="0.35">
      <c r="A2215" s="118">
        <v>42811</v>
      </c>
      <c r="B2215" s="119">
        <v>12383.04</v>
      </c>
    </row>
    <row r="2216" spans="1:2" x14ac:dyDescent="0.35">
      <c r="A2216" s="118">
        <v>42810</v>
      </c>
      <c r="B2216" s="119">
        <v>12374.48</v>
      </c>
    </row>
    <row r="2217" spans="1:2" x14ac:dyDescent="0.35">
      <c r="A2217" s="118">
        <v>42809</v>
      </c>
      <c r="B2217" s="119">
        <v>12278.23</v>
      </c>
    </row>
    <row r="2218" spans="1:2" x14ac:dyDescent="0.35">
      <c r="A2218" s="118">
        <v>42808</v>
      </c>
      <c r="B2218" s="119">
        <v>12281.22</v>
      </c>
    </row>
    <row r="2219" spans="1:2" x14ac:dyDescent="0.35">
      <c r="A2219" s="118">
        <v>42804</v>
      </c>
      <c r="B2219" s="119">
        <v>12066.4</v>
      </c>
    </row>
    <row r="2220" spans="1:2" x14ac:dyDescent="0.35">
      <c r="A2220" s="118">
        <v>42803</v>
      </c>
      <c r="B2220" s="119">
        <v>12056.17</v>
      </c>
    </row>
    <row r="2221" spans="1:2" x14ac:dyDescent="0.35">
      <c r="A2221" s="118">
        <v>42802</v>
      </c>
      <c r="B2221" s="119">
        <v>12050.77</v>
      </c>
    </row>
    <row r="2222" spans="1:2" x14ac:dyDescent="0.35">
      <c r="A2222" s="118">
        <v>42801</v>
      </c>
      <c r="B2222" s="119">
        <v>12081.34</v>
      </c>
    </row>
    <row r="2223" spans="1:2" x14ac:dyDescent="0.35">
      <c r="A2223" s="118">
        <v>42800</v>
      </c>
      <c r="B2223" s="119">
        <v>12103.68</v>
      </c>
    </row>
    <row r="2224" spans="1:2" x14ac:dyDescent="0.35">
      <c r="A2224" s="118">
        <v>42797</v>
      </c>
      <c r="B2224" s="119">
        <v>12014.7</v>
      </c>
    </row>
    <row r="2225" spans="1:2" x14ac:dyDescent="0.35">
      <c r="A2225" s="118">
        <v>42796</v>
      </c>
      <c r="B2225" s="119">
        <v>12017.63</v>
      </c>
    </row>
    <row r="2226" spans="1:2" x14ac:dyDescent="0.35">
      <c r="A2226" s="118">
        <v>42795</v>
      </c>
      <c r="B2226" s="119">
        <v>12079.8</v>
      </c>
    </row>
    <row r="2227" spans="1:2" x14ac:dyDescent="0.35">
      <c r="A2227" s="118">
        <v>42794</v>
      </c>
      <c r="B2227" s="119">
        <v>11990.44</v>
      </c>
    </row>
    <row r="2228" spans="1:2" x14ac:dyDescent="0.35">
      <c r="A2228" s="118">
        <v>42793</v>
      </c>
      <c r="B2228" s="119">
        <v>12009.8</v>
      </c>
    </row>
    <row r="2229" spans="1:2" x14ac:dyDescent="0.35">
      <c r="A2229" s="118">
        <v>42789</v>
      </c>
      <c r="B2229" s="119">
        <v>12067.61</v>
      </c>
    </row>
    <row r="2230" spans="1:2" x14ac:dyDescent="0.35">
      <c r="A2230" s="118">
        <v>42788</v>
      </c>
      <c r="B2230" s="119">
        <v>12050.54</v>
      </c>
    </row>
    <row r="2231" spans="1:2" x14ac:dyDescent="0.35">
      <c r="A2231" s="118">
        <v>42787</v>
      </c>
      <c r="B2231" s="119">
        <v>12024.88</v>
      </c>
    </row>
    <row r="2232" spans="1:2" x14ac:dyDescent="0.35">
      <c r="A2232" s="118">
        <v>42786</v>
      </c>
      <c r="B2232" s="119">
        <v>11986.21</v>
      </c>
    </row>
    <row r="2233" spans="1:2" x14ac:dyDescent="0.35">
      <c r="A2233" s="118">
        <v>42783</v>
      </c>
      <c r="B2233" s="119">
        <v>11908.56</v>
      </c>
    </row>
    <row r="2234" spans="1:2" x14ac:dyDescent="0.35">
      <c r="A2234" s="118">
        <v>42782</v>
      </c>
      <c r="B2234" s="119">
        <v>11849.55</v>
      </c>
    </row>
    <row r="2235" spans="1:2" x14ac:dyDescent="0.35">
      <c r="A2235" s="118">
        <v>42781</v>
      </c>
      <c r="B2235" s="119">
        <v>11776.57</v>
      </c>
    </row>
    <row r="2236" spans="1:2" x14ac:dyDescent="0.35">
      <c r="A2236" s="118">
        <v>42780</v>
      </c>
      <c r="B2236" s="119">
        <v>11865.43</v>
      </c>
    </row>
    <row r="2237" spans="1:2" x14ac:dyDescent="0.35">
      <c r="A2237" s="118">
        <v>42779</v>
      </c>
      <c r="B2237" s="119">
        <v>11882.38</v>
      </c>
    </row>
    <row r="2238" spans="1:2" x14ac:dyDescent="0.35">
      <c r="A2238" s="118">
        <v>42776</v>
      </c>
      <c r="B2238" s="119">
        <v>11866.82</v>
      </c>
    </row>
    <row r="2239" spans="1:2" x14ac:dyDescent="0.35">
      <c r="A2239" s="118">
        <v>42775</v>
      </c>
      <c r="B2239" s="119">
        <v>11846.42</v>
      </c>
    </row>
    <row r="2240" spans="1:2" x14ac:dyDescent="0.35">
      <c r="A2240" s="118">
        <v>42774</v>
      </c>
      <c r="B2240" s="119">
        <v>11833.8</v>
      </c>
    </row>
    <row r="2241" spans="1:2" x14ac:dyDescent="0.35">
      <c r="A2241" s="118">
        <v>42773</v>
      </c>
      <c r="B2241" s="119">
        <v>11832.78</v>
      </c>
    </row>
    <row r="2242" spans="1:2" x14ac:dyDescent="0.35">
      <c r="A2242" s="118">
        <v>42772</v>
      </c>
      <c r="B2242" s="119">
        <v>11874.73</v>
      </c>
    </row>
    <row r="2243" spans="1:2" x14ac:dyDescent="0.35">
      <c r="A2243" s="118">
        <v>42769</v>
      </c>
      <c r="B2243" s="119">
        <v>11793.62</v>
      </c>
    </row>
    <row r="2244" spans="1:2" x14ac:dyDescent="0.35">
      <c r="A2244" s="118">
        <v>42768</v>
      </c>
      <c r="B2244" s="119">
        <v>11784.61</v>
      </c>
    </row>
    <row r="2245" spans="1:2" x14ac:dyDescent="0.35">
      <c r="A2245" s="118">
        <v>42767</v>
      </c>
      <c r="B2245" s="119">
        <v>11758.63</v>
      </c>
    </row>
    <row r="2246" spans="1:2" x14ac:dyDescent="0.35">
      <c r="A2246" s="118">
        <v>42766</v>
      </c>
      <c r="B2246" s="119">
        <v>11548.15</v>
      </c>
    </row>
    <row r="2247" spans="1:2" x14ac:dyDescent="0.35">
      <c r="A2247" s="118">
        <v>42765</v>
      </c>
      <c r="B2247" s="119">
        <v>11644.53</v>
      </c>
    </row>
    <row r="2248" spans="1:2" x14ac:dyDescent="0.35">
      <c r="A2248" s="118">
        <v>42762</v>
      </c>
      <c r="B2248" s="119">
        <v>11656</v>
      </c>
    </row>
    <row r="2249" spans="1:2" x14ac:dyDescent="0.35">
      <c r="A2249" s="118">
        <v>42760</v>
      </c>
      <c r="B2249" s="119">
        <v>11604.09</v>
      </c>
    </row>
    <row r="2250" spans="1:2" x14ac:dyDescent="0.35">
      <c r="A2250" s="118">
        <v>42759</v>
      </c>
      <c r="B2250" s="119">
        <v>11432.83</v>
      </c>
    </row>
    <row r="2251" spans="1:2" x14ac:dyDescent="0.35">
      <c r="A2251" s="118">
        <v>42758</v>
      </c>
      <c r="B2251" s="119">
        <v>11319.09</v>
      </c>
    </row>
    <row r="2252" spans="1:2" x14ac:dyDescent="0.35">
      <c r="A2252" s="118">
        <v>42755</v>
      </c>
      <c r="B2252" s="119">
        <v>11260.99</v>
      </c>
    </row>
    <row r="2253" spans="1:2" x14ac:dyDescent="0.35">
      <c r="A2253" s="118">
        <v>42754</v>
      </c>
      <c r="B2253" s="119">
        <v>11376.62</v>
      </c>
    </row>
    <row r="2254" spans="1:2" x14ac:dyDescent="0.35">
      <c r="A2254" s="118">
        <v>42753</v>
      </c>
      <c r="B2254" s="119">
        <v>11352.22</v>
      </c>
    </row>
    <row r="2255" spans="1:2" x14ac:dyDescent="0.35">
      <c r="A2255" s="118">
        <v>42752</v>
      </c>
      <c r="B2255" s="119">
        <v>11326.62</v>
      </c>
    </row>
    <row r="2256" spans="1:2" x14ac:dyDescent="0.35">
      <c r="A2256" s="118">
        <v>42751</v>
      </c>
      <c r="B2256" s="119">
        <v>11346.57</v>
      </c>
    </row>
    <row r="2257" spans="1:2" x14ac:dyDescent="0.35">
      <c r="A2257" s="118">
        <v>42748</v>
      </c>
      <c r="B2257" s="119">
        <v>11329.78</v>
      </c>
    </row>
    <row r="2258" spans="1:2" x14ac:dyDescent="0.35">
      <c r="A2258" s="118">
        <v>42747</v>
      </c>
      <c r="B2258" s="119">
        <v>11339.04</v>
      </c>
    </row>
    <row r="2259" spans="1:2" x14ac:dyDescent="0.35">
      <c r="A2259" s="118">
        <v>42746</v>
      </c>
      <c r="B2259" s="119">
        <v>11303.19</v>
      </c>
    </row>
    <row r="2260" spans="1:2" x14ac:dyDescent="0.35">
      <c r="A2260" s="118">
        <v>42745</v>
      </c>
      <c r="B2260" s="119">
        <v>11179.04</v>
      </c>
    </row>
    <row r="2261" spans="1:2" x14ac:dyDescent="0.35">
      <c r="A2261" s="118">
        <v>42744</v>
      </c>
      <c r="B2261" s="119">
        <v>11108.2</v>
      </c>
    </row>
    <row r="2262" spans="1:2" x14ac:dyDescent="0.35">
      <c r="A2262" s="118">
        <v>42741</v>
      </c>
      <c r="B2262" s="119">
        <v>11118.62</v>
      </c>
    </row>
    <row r="2263" spans="1:2" x14ac:dyDescent="0.35">
      <c r="A2263" s="118">
        <v>42740</v>
      </c>
      <c r="B2263" s="119">
        <v>11159.12</v>
      </c>
    </row>
    <row r="2264" spans="1:2" x14ac:dyDescent="0.35">
      <c r="A2264" s="118">
        <v>42739</v>
      </c>
      <c r="B2264" s="119">
        <v>11046.76</v>
      </c>
    </row>
    <row r="2265" spans="1:2" x14ac:dyDescent="0.35">
      <c r="A2265" s="118">
        <v>42738</v>
      </c>
      <c r="B2265" s="119">
        <v>11049.08</v>
      </c>
    </row>
    <row r="2266" spans="1:2" x14ac:dyDescent="0.35">
      <c r="A2266" s="118">
        <v>42737</v>
      </c>
      <c r="B2266" s="119">
        <v>11031.91</v>
      </c>
    </row>
    <row r="2267" spans="1:2" x14ac:dyDescent="0.35">
      <c r="A2267" s="118">
        <v>42734</v>
      </c>
      <c r="B2267" s="119">
        <v>11040.41</v>
      </c>
    </row>
    <row r="2268" spans="1:2" x14ac:dyDescent="0.35">
      <c r="A2268" s="118">
        <v>42733</v>
      </c>
      <c r="B2268" s="119">
        <v>10929.53</v>
      </c>
    </row>
    <row r="2269" spans="1:2" x14ac:dyDescent="0.35">
      <c r="A2269" s="118">
        <v>42732</v>
      </c>
      <c r="B2269" s="119">
        <v>10836.85</v>
      </c>
    </row>
    <row r="2270" spans="1:2" x14ac:dyDescent="0.35">
      <c r="A2270" s="118">
        <v>42731</v>
      </c>
      <c r="B2270" s="119">
        <v>10834.12</v>
      </c>
    </row>
    <row r="2271" spans="1:2" x14ac:dyDescent="0.35">
      <c r="A2271" s="118">
        <v>42730</v>
      </c>
      <c r="B2271" s="119">
        <v>10666.06</v>
      </c>
    </row>
    <row r="2272" spans="1:2" x14ac:dyDescent="0.35">
      <c r="A2272" s="118">
        <v>42727</v>
      </c>
      <c r="B2272" s="119">
        <v>10770.6</v>
      </c>
    </row>
    <row r="2273" spans="1:2" x14ac:dyDescent="0.35">
      <c r="A2273" s="118">
        <v>42726</v>
      </c>
      <c r="B2273" s="119">
        <v>10761.65</v>
      </c>
    </row>
    <row r="2274" spans="1:2" x14ac:dyDescent="0.35">
      <c r="A2274" s="118">
        <v>42725</v>
      </c>
      <c r="B2274" s="119">
        <v>10872.49</v>
      </c>
    </row>
    <row r="2275" spans="1:2" x14ac:dyDescent="0.35">
      <c r="A2275" s="118">
        <v>42724</v>
      </c>
      <c r="B2275" s="119">
        <v>10900.96</v>
      </c>
    </row>
    <row r="2276" spans="1:2" x14ac:dyDescent="0.35">
      <c r="A2276" s="118">
        <v>42723</v>
      </c>
      <c r="B2276" s="119">
        <v>10930.55</v>
      </c>
    </row>
    <row r="2277" spans="1:2" x14ac:dyDescent="0.35">
      <c r="A2277" s="118">
        <v>42720</v>
      </c>
      <c r="B2277" s="119">
        <v>10977.91</v>
      </c>
    </row>
    <row r="2278" spans="1:2" x14ac:dyDescent="0.35">
      <c r="A2278" s="118">
        <v>42719</v>
      </c>
      <c r="B2278" s="119">
        <v>10997.01</v>
      </c>
    </row>
    <row r="2279" spans="1:2" x14ac:dyDescent="0.35">
      <c r="A2279" s="118">
        <v>42718</v>
      </c>
      <c r="B2279" s="119">
        <v>11035.88</v>
      </c>
    </row>
    <row r="2280" spans="1:2" x14ac:dyDescent="0.35">
      <c r="A2280" s="118">
        <v>42717</v>
      </c>
      <c r="B2280" s="119">
        <v>11088.99</v>
      </c>
    </row>
    <row r="2281" spans="1:2" x14ac:dyDescent="0.35">
      <c r="A2281" s="118">
        <v>42716</v>
      </c>
      <c r="B2281" s="119">
        <v>11020.15</v>
      </c>
    </row>
    <row r="2282" spans="1:2" x14ac:dyDescent="0.35">
      <c r="A2282" s="118">
        <v>42713</v>
      </c>
      <c r="B2282" s="119">
        <v>11142.82</v>
      </c>
    </row>
    <row r="2283" spans="1:2" x14ac:dyDescent="0.35">
      <c r="A2283" s="118">
        <v>42712</v>
      </c>
      <c r="B2283" s="119">
        <v>11122.75</v>
      </c>
    </row>
    <row r="2284" spans="1:2" x14ac:dyDescent="0.35">
      <c r="A2284" s="118">
        <v>42711</v>
      </c>
      <c r="B2284" s="119">
        <v>10927.43</v>
      </c>
    </row>
    <row r="2285" spans="1:2" x14ac:dyDescent="0.35">
      <c r="A2285" s="118">
        <v>42710</v>
      </c>
      <c r="B2285" s="119">
        <v>10982.89</v>
      </c>
    </row>
    <row r="2286" spans="1:2" x14ac:dyDescent="0.35">
      <c r="A2286" s="118">
        <v>42709</v>
      </c>
      <c r="B2286" s="119">
        <v>10963.49</v>
      </c>
    </row>
    <row r="2287" spans="1:2" x14ac:dyDescent="0.35">
      <c r="A2287" s="118">
        <v>42706</v>
      </c>
      <c r="B2287" s="119">
        <v>10906.86</v>
      </c>
    </row>
    <row r="2288" spans="1:2" x14ac:dyDescent="0.35">
      <c r="A2288" s="118">
        <v>42705</v>
      </c>
      <c r="B2288" s="119">
        <v>11050</v>
      </c>
    </row>
    <row r="2289" spans="1:2" x14ac:dyDescent="0.35">
      <c r="A2289" s="118">
        <v>42704</v>
      </c>
      <c r="B2289" s="119">
        <v>11092.59</v>
      </c>
    </row>
    <row r="2290" spans="1:2" x14ac:dyDescent="0.35">
      <c r="A2290" s="118">
        <v>42703</v>
      </c>
      <c r="B2290" s="119">
        <v>10981.54</v>
      </c>
    </row>
    <row r="2291" spans="1:2" x14ac:dyDescent="0.35">
      <c r="A2291" s="118">
        <v>42702</v>
      </c>
      <c r="B2291" s="119">
        <v>10960.97</v>
      </c>
    </row>
    <row r="2292" spans="1:2" x14ac:dyDescent="0.35">
      <c r="A2292" s="118">
        <v>42699</v>
      </c>
      <c r="B2292" s="119">
        <v>10943.99</v>
      </c>
    </row>
    <row r="2293" spans="1:2" x14ac:dyDescent="0.35">
      <c r="A2293" s="118">
        <v>42698</v>
      </c>
      <c r="B2293" s="119">
        <v>10743.28</v>
      </c>
    </row>
    <row r="2294" spans="1:2" x14ac:dyDescent="0.35">
      <c r="A2294" s="118">
        <v>42697</v>
      </c>
      <c r="B2294" s="119">
        <v>10834.59</v>
      </c>
    </row>
    <row r="2295" spans="1:2" x14ac:dyDescent="0.35">
      <c r="A2295" s="118">
        <v>42696</v>
      </c>
      <c r="B2295" s="119">
        <v>10792.82</v>
      </c>
    </row>
    <row r="2296" spans="1:2" x14ac:dyDescent="0.35">
      <c r="A2296" s="118">
        <v>42695</v>
      </c>
      <c r="B2296" s="119">
        <v>10694.09</v>
      </c>
    </row>
    <row r="2297" spans="1:2" x14ac:dyDescent="0.35">
      <c r="A2297" s="118">
        <v>42692</v>
      </c>
      <c r="B2297" s="119">
        <v>10889.64</v>
      </c>
    </row>
    <row r="2298" spans="1:2" x14ac:dyDescent="0.35">
      <c r="A2298" s="118">
        <v>42691</v>
      </c>
      <c r="B2298" s="119">
        <v>10897.55</v>
      </c>
    </row>
    <row r="2299" spans="1:2" x14ac:dyDescent="0.35">
      <c r="A2299" s="118">
        <v>42690</v>
      </c>
      <c r="B2299" s="119">
        <v>10940.23</v>
      </c>
    </row>
    <row r="2300" spans="1:2" x14ac:dyDescent="0.35">
      <c r="A2300" s="118">
        <v>42689</v>
      </c>
      <c r="B2300" s="119">
        <v>10935.99</v>
      </c>
    </row>
    <row r="2301" spans="1:2" x14ac:dyDescent="0.35">
      <c r="A2301" s="118">
        <v>42685</v>
      </c>
      <c r="B2301" s="119">
        <v>11189.3</v>
      </c>
    </row>
    <row r="2302" spans="1:2" x14ac:dyDescent="0.35">
      <c r="A2302" s="118">
        <v>42684</v>
      </c>
      <c r="B2302" s="119">
        <v>11498.79</v>
      </c>
    </row>
    <row r="2303" spans="1:2" x14ac:dyDescent="0.35">
      <c r="A2303" s="118">
        <v>42683</v>
      </c>
      <c r="B2303" s="119">
        <v>11372.35</v>
      </c>
    </row>
    <row r="2304" spans="1:2" x14ac:dyDescent="0.35">
      <c r="A2304" s="118">
        <v>42682</v>
      </c>
      <c r="B2304" s="119">
        <v>11522.76</v>
      </c>
    </row>
    <row r="2305" spans="1:2" x14ac:dyDescent="0.35">
      <c r="A2305" s="118">
        <v>42681</v>
      </c>
      <c r="B2305" s="119">
        <v>11460.08</v>
      </c>
    </row>
    <row r="2306" spans="1:2" x14ac:dyDescent="0.35">
      <c r="A2306" s="118">
        <v>42678</v>
      </c>
      <c r="B2306" s="119">
        <v>11374.71</v>
      </c>
    </row>
    <row r="2307" spans="1:2" x14ac:dyDescent="0.35">
      <c r="A2307" s="118">
        <v>42677</v>
      </c>
      <c r="B2307" s="119">
        <v>11443.72</v>
      </c>
    </row>
    <row r="2308" spans="1:2" x14ac:dyDescent="0.35">
      <c r="A2308" s="118">
        <v>42676</v>
      </c>
      <c r="B2308" s="119">
        <v>11479.94</v>
      </c>
    </row>
    <row r="2309" spans="1:2" x14ac:dyDescent="0.35">
      <c r="A2309" s="118">
        <v>42675</v>
      </c>
      <c r="B2309" s="119">
        <v>11631.33</v>
      </c>
    </row>
    <row r="2310" spans="1:2" x14ac:dyDescent="0.35">
      <c r="A2310" s="118">
        <v>42673</v>
      </c>
      <c r="B2310" s="119">
        <v>11628.32</v>
      </c>
    </row>
    <row r="2311" spans="1:2" x14ac:dyDescent="0.35">
      <c r="A2311" s="118">
        <v>42671</v>
      </c>
      <c r="B2311" s="119">
        <v>11644.89</v>
      </c>
    </row>
    <row r="2312" spans="1:2" x14ac:dyDescent="0.35">
      <c r="A2312" s="118">
        <v>42670</v>
      </c>
      <c r="B2312" s="119">
        <v>11614.18</v>
      </c>
    </row>
    <row r="2313" spans="1:2" x14ac:dyDescent="0.35">
      <c r="A2313" s="118">
        <v>42669</v>
      </c>
      <c r="B2313" s="119">
        <v>11612.99</v>
      </c>
    </row>
    <row r="2314" spans="1:2" x14ac:dyDescent="0.35">
      <c r="A2314" s="118">
        <v>42668</v>
      </c>
      <c r="B2314" s="119">
        <v>11715.45</v>
      </c>
    </row>
    <row r="2315" spans="1:2" x14ac:dyDescent="0.35">
      <c r="A2315" s="118">
        <v>42667</v>
      </c>
      <c r="B2315" s="119">
        <v>11739.24</v>
      </c>
    </row>
    <row r="2316" spans="1:2" x14ac:dyDescent="0.35">
      <c r="A2316" s="118">
        <v>42664</v>
      </c>
      <c r="B2316" s="119">
        <v>11716.57</v>
      </c>
    </row>
    <row r="2317" spans="1:2" x14ac:dyDescent="0.35">
      <c r="A2317" s="118">
        <v>42663</v>
      </c>
      <c r="B2317" s="119">
        <v>11717.04</v>
      </c>
    </row>
    <row r="2318" spans="1:2" x14ac:dyDescent="0.35">
      <c r="A2318" s="118">
        <v>42662</v>
      </c>
      <c r="B2318" s="119">
        <v>11662.81</v>
      </c>
    </row>
    <row r="2319" spans="1:2" x14ac:dyDescent="0.35">
      <c r="A2319" s="118">
        <v>42661</v>
      </c>
      <c r="B2319" s="119">
        <v>11688.13</v>
      </c>
    </row>
    <row r="2320" spans="1:2" x14ac:dyDescent="0.35">
      <c r="A2320" s="118">
        <v>42660</v>
      </c>
      <c r="B2320" s="119">
        <v>11475.97</v>
      </c>
    </row>
    <row r="2321" spans="1:2" x14ac:dyDescent="0.35">
      <c r="A2321" s="118">
        <v>42657</v>
      </c>
      <c r="B2321" s="119">
        <v>11560.81</v>
      </c>
    </row>
    <row r="2322" spans="1:2" x14ac:dyDescent="0.35">
      <c r="A2322" s="118">
        <v>42656</v>
      </c>
      <c r="B2322" s="119">
        <v>11547.3</v>
      </c>
    </row>
    <row r="2323" spans="1:2" x14ac:dyDescent="0.35">
      <c r="A2323" s="118">
        <v>42653</v>
      </c>
      <c r="B2323" s="119">
        <v>11729.75</v>
      </c>
    </row>
    <row r="2324" spans="1:2" x14ac:dyDescent="0.35">
      <c r="A2324" s="118">
        <v>42650</v>
      </c>
      <c r="B2324" s="119">
        <v>11714.65</v>
      </c>
    </row>
    <row r="2325" spans="1:2" x14ac:dyDescent="0.35">
      <c r="A2325" s="118">
        <v>42649</v>
      </c>
      <c r="B2325" s="119">
        <v>11730.75</v>
      </c>
    </row>
    <row r="2326" spans="1:2" x14ac:dyDescent="0.35">
      <c r="A2326" s="118">
        <v>42648</v>
      </c>
      <c r="B2326" s="119">
        <v>11777.1</v>
      </c>
    </row>
    <row r="2327" spans="1:2" x14ac:dyDescent="0.35">
      <c r="A2327" s="118">
        <v>42647</v>
      </c>
      <c r="B2327" s="119">
        <v>11811.04</v>
      </c>
    </row>
    <row r="2328" spans="1:2" x14ac:dyDescent="0.35">
      <c r="A2328" s="118">
        <v>42646</v>
      </c>
      <c r="B2328" s="119">
        <v>11769.16</v>
      </c>
    </row>
    <row r="2329" spans="1:2" x14ac:dyDescent="0.35">
      <c r="A2329" s="118">
        <v>42643</v>
      </c>
      <c r="B2329" s="119">
        <v>11598.22</v>
      </c>
    </row>
    <row r="2330" spans="1:2" x14ac:dyDescent="0.35">
      <c r="A2330" s="118">
        <v>42642</v>
      </c>
      <c r="B2330" s="119">
        <v>11571.4</v>
      </c>
    </row>
    <row r="2331" spans="1:2" x14ac:dyDescent="0.35">
      <c r="A2331" s="118">
        <v>42641</v>
      </c>
      <c r="B2331" s="119">
        <v>11778.71</v>
      </c>
    </row>
    <row r="2332" spans="1:2" x14ac:dyDescent="0.35">
      <c r="A2332" s="118">
        <v>42640</v>
      </c>
      <c r="B2332" s="119">
        <v>11726.49</v>
      </c>
    </row>
    <row r="2333" spans="1:2" x14ac:dyDescent="0.35">
      <c r="A2333" s="118">
        <v>42639</v>
      </c>
      <c r="B2333" s="119">
        <v>11748.91</v>
      </c>
    </row>
    <row r="2334" spans="1:2" x14ac:dyDescent="0.35">
      <c r="A2334" s="118">
        <v>42636</v>
      </c>
      <c r="B2334" s="119">
        <v>11895.07</v>
      </c>
    </row>
    <row r="2335" spans="1:2" x14ac:dyDescent="0.35">
      <c r="A2335" s="118">
        <v>42635</v>
      </c>
      <c r="B2335" s="119">
        <v>11943.44</v>
      </c>
    </row>
    <row r="2336" spans="1:2" x14ac:dyDescent="0.35">
      <c r="A2336" s="118">
        <v>42634</v>
      </c>
      <c r="B2336" s="119">
        <v>11821.52</v>
      </c>
    </row>
    <row r="2337" spans="1:2" x14ac:dyDescent="0.35">
      <c r="A2337" s="118">
        <v>42633</v>
      </c>
      <c r="B2337" s="119">
        <v>11819.83</v>
      </c>
    </row>
    <row r="2338" spans="1:2" x14ac:dyDescent="0.35">
      <c r="A2338" s="118">
        <v>42632</v>
      </c>
      <c r="B2338" s="119">
        <v>11863.61</v>
      </c>
    </row>
    <row r="2339" spans="1:2" x14ac:dyDescent="0.35">
      <c r="A2339" s="118">
        <v>42629</v>
      </c>
      <c r="B2339" s="119">
        <v>11825.12</v>
      </c>
    </row>
    <row r="2340" spans="1:2" x14ac:dyDescent="0.35">
      <c r="A2340" s="118">
        <v>42628</v>
      </c>
      <c r="B2340" s="119">
        <v>11774.9</v>
      </c>
    </row>
    <row r="2341" spans="1:2" x14ac:dyDescent="0.35">
      <c r="A2341" s="118">
        <v>42627</v>
      </c>
      <c r="B2341" s="119">
        <v>11751.93</v>
      </c>
    </row>
    <row r="2342" spans="1:2" x14ac:dyDescent="0.35">
      <c r="A2342" s="118">
        <v>42625</v>
      </c>
      <c r="B2342" s="119">
        <v>11737</v>
      </c>
    </row>
    <row r="2343" spans="1:2" x14ac:dyDescent="0.35">
      <c r="A2343" s="118">
        <v>42622</v>
      </c>
      <c r="B2343" s="119">
        <v>11940.12</v>
      </c>
    </row>
    <row r="2344" spans="1:2" x14ac:dyDescent="0.35">
      <c r="A2344" s="118">
        <v>42621</v>
      </c>
      <c r="B2344" s="119">
        <v>12055.6</v>
      </c>
    </row>
    <row r="2345" spans="1:2" x14ac:dyDescent="0.35">
      <c r="A2345" s="118">
        <v>42620</v>
      </c>
      <c r="B2345" s="119">
        <v>12005.43</v>
      </c>
    </row>
    <row r="2346" spans="1:2" x14ac:dyDescent="0.35">
      <c r="A2346" s="118">
        <v>42619</v>
      </c>
      <c r="B2346" s="119">
        <v>12037.72</v>
      </c>
    </row>
    <row r="2347" spans="1:2" x14ac:dyDescent="0.35">
      <c r="A2347" s="118">
        <v>42615</v>
      </c>
      <c r="B2347" s="119">
        <v>11857.76</v>
      </c>
    </row>
    <row r="2348" spans="1:2" x14ac:dyDescent="0.35">
      <c r="A2348" s="118">
        <v>42614</v>
      </c>
      <c r="B2348" s="119">
        <v>11810.69</v>
      </c>
    </row>
    <row r="2349" spans="1:2" x14ac:dyDescent="0.35">
      <c r="A2349" s="118">
        <v>42613</v>
      </c>
      <c r="B2349" s="119">
        <v>11826.19</v>
      </c>
    </row>
    <row r="2350" spans="1:2" x14ac:dyDescent="0.35">
      <c r="A2350" s="118">
        <v>42612</v>
      </c>
      <c r="B2350" s="119">
        <v>11766.04</v>
      </c>
    </row>
    <row r="2351" spans="1:2" x14ac:dyDescent="0.35">
      <c r="A2351" s="118">
        <v>42611</v>
      </c>
      <c r="B2351" s="119">
        <v>11581.83</v>
      </c>
    </row>
    <row r="2352" spans="1:2" x14ac:dyDescent="0.35">
      <c r="A2352" s="118">
        <v>42608</v>
      </c>
      <c r="B2352" s="119">
        <v>11534.92</v>
      </c>
    </row>
    <row r="2353" spans="1:2" x14ac:dyDescent="0.35">
      <c r="A2353" s="118">
        <v>42607</v>
      </c>
      <c r="B2353" s="119">
        <v>11561.34</v>
      </c>
    </row>
    <row r="2354" spans="1:2" x14ac:dyDescent="0.35">
      <c r="A2354" s="118">
        <v>42606</v>
      </c>
      <c r="B2354" s="119">
        <v>11639.48</v>
      </c>
    </row>
    <row r="2355" spans="1:2" x14ac:dyDescent="0.35">
      <c r="A2355" s="118">
        <v>42605</v>
      </c>
      <c r="B2355" s="119">
        <v>11615.7</v>
      </c>
    </row>
    <row r="2356" spans="1:2" x14ac:dyDescent="0.35">
      <c r="A2356" s="118">
        <v>42604</v>
      </c>
      <c r="B2356" s="119">
        <v>11611.02</v>
      </c>
    </row>
    <row r="2357" spans="1:2" x14ac:dyDescent="0.35">
      <c r="A2357" s="118">
        <v>42601</v>
      </c>
      <c r="B2357" s="119">
        <v>11661.82</v>
      </c>
    </row>
    <row r="2358" spans="1:2" x14ac:dyDescent="0.35">
      <c r="A2358" s="118">
        <v>42600</v>
      </c>
      <c r="B2358" s="119">
        <v>11670.37</v>
      </c>
    </row>
    <row r="2359" spans="1:2" x14ac:dyDescent="0.35">
      <c r="A2359" s="118">
        <v>42599</v>
      </c>
      <c r="B2359" s="119">
        <v>11598.72</v>
      </c>
    </row>
    <row r="2360" spans="1:2" x14ac:dyDescent="0.35">
      <c r="A2360" s="118">
        <v>42598</v>
      </c>
      <c r="B2360" s="119">
        <v>11623.61</v>
      </c>
    </row>
    <row r="2361" spans="1:2" x14ac:dyDescent="0.35">
      <c r="A2361" s="118">
        <v>42594</v>
      </c>
      <c r="B2361" s="119">
        <v>11663.43</v>
      </c>
    </row>
    <row r="2362" spans="1:2" x14ac:dyDescent="0.35">
      <c r="A2362" s="118">
        <v>42593</v>
      </c>
      <c r="B2362" s="119">
        <v>11555.84</v>
      </c>
    </row>
    <row r="2363" spans="1:2" x14ac:dyDescent="0.35">
      <c r="A2363" s="118">
        <v>42592</v>
      </c>
      <c r="B2363" s="119">
        <v>11532.49</v>
      </c>
    </row>
    <row r="2364" spans="1:2" x14ac:dyDescent="0.35">
      <c r="A2364" s="118">
        <v>42591</v>
      </c>
      <c r="B2364" s="119">
        <v>11669.7</v>
      </c>
    </row>
    <row r="2365" spans="1:2" x14ac:dyDescent="0.35">
      <c r="A2365" s="118">
        <v>42590</v>
      </c>
      <c r="B2365" s="119">
        <v>11713.58</v>
      </c>
    </row>
    <row r="2366" spans="1:2" x14ac:dyDescent="0.35">
      <c r="A2366" s="118">
        <v>42587</v>
      </c>
      <c r="B2366" s="119">
        <v>11675.68</v>
      </c>
    </row>
    <row r="2367" spans="1:2" x14ac:dyDescent="0.35">
      <c r="A2367" s="118">
        <v>42586</v>
      </c>
      <c r="B2367" s="119">
        <v>11498.13</v>
      </c>
    </row>
    <row r="2368" spans="1:2" x14ac:dyDescent="0.35">
      <c r="A2368" s="118">
        <v>42585</v>
      </c>
      <c r="B2368" s="119">
        <v>11489.74</v>
      </c>
    </row>
    <row r="2369" spans="1:2" x14ac:dyDescent="0.35">
      <c r="A2369" s="118">
        <v>42584</v>
      </c>
      <c r="B2369" s="119">
        <v>11594.65</v>
      </c>
    </row>
    <row r="2370" spans="1:2" x14ac:dyDescent="0.35">
      <c r="A2370" s="118">
        <v>42583</v>
      </c>
      <c r="B2370" s="119">
        <v>11612.19</v>
      </c>
    </row>
    <row r="2371" spans="1:2" x14ac:dyDescent="0.35">
      <c r="A2371" s="118">
        <v>42580</v>
      </c>
      <c r="B2371" s="119">
        <v>11614.8</v>
      </c>
    </row>
    <row r="2372" spans="1:2" x14ac:dyDescent="0.35">
      <c r="A2372" s="118">
        <v>42579</v>
      </c>
      <c r="B2372" s="119">
        <v>11652.18</v>
      </c>
    </row>
    <row r="2373" spans="1:2" x14ac:dyDescent="0.35">
      <c r="A2373" s="118">
        <v>42578</v>
      </c>
      <c r="B2373" s="119">
        <v>11579.64</v>
      </c>
    </row>
    <row r="2374" spans="1:2" x14ac:dyDescent="0.35">
      <c r="A2374" s="118">
        <v>42577</v>
      </c>
      <c r="B2374" s="119">
        <v>11545.78</v>
      </c>
    </row>
    <row r="2375" spans="1:2" x14ac:dyDescent="0.35">
      <c r="A2375" s="118">
        <v>42576</v>
      </c>
      <c r="B2375" s="119">
        <v>11606.29</v>
      </c>
    </row>
    <row r="2376" spans="1:2" x14ac:dyDescent="0.35">
      <c r="A2376" s="118">
        <v>42573</v>
      </c>
      <c r="B2376" s="119">
        <v>11477.47</v>
      </c>
    </row>
    <row r="2377" spans="1:2" x14ac:dyDescent="0.35">
      <c r="A2377" s="118">
        <v>42572</v>
      </c>
      <c r="B2377" s="119">
        <v>11435.64</v>
      </c>
    </row>
    <row r="2378" spans="1:2" x14ac:dyDescent="0.35">
      <c r="A2378" s="118">
        <v>42571</v>
      </c>
      <c r="B2378" s="119">
        <v>11508.07</v>
      </c>
    </row>
    <row r="2379" spans="1:2" x14ac:dyDescent="0.35">
      <c r="A2379" s="118">
        <v>42570</v>
      </c>
      <c r="B2379" s="119">
        <v>11457.95</v>
      </c>
    </row>
    <row r="2380" spans="1:2" x14ac:dyDescent="0.35">
      <c r="A2380" s="118">
        <v>42569</v>
      </c>
      <c r="B2380" s="119">
        <v>11431.25</v>
      </c>
    </row>
    <row r="2381" spans="1:2" x14ac:dyDescent="0.35">
      <c r="A2381" s="118">
        <v>42566</v>
      </c>
      <c r="B2381" s="119">
        <v>11474.04</v>
      </c>
    </row>
    <row r="2382" spans="1:2" x14ac:dyDescent="0.35">
      <c r="A2382" s="118">
        <v>42565</v>
      </c>
      <c r="B2382" s="119">
        <v>11497.65</v>
      </c>
    </row>
    <row r="2383" spans="1:2" x14ac:dyDescent="0.35">
      <c r="A2383" s="118">
        <v>42564</v>
      </c>
      <c r="B2383" s="119">
        <v>11436.09</v>
      </c>
    </row>
    <row r="2384" spans="1:2" x14ac:dyDescent="0.35">
      <c r="A2384" s="118">
        <v>42563</v>
      </c>
      <c r="B2384" s="119">
        <v>11438.19</v>
      </c>
    </row>
    <row r="2385" spans="1:2" x14ac:dyDescent="0.35">
      <c r="A2385" s="118">
        <v>42562</v>
      </c>
      <c r="B2385" s="119">
        <v>11366.82</v>
      </c>
    </row>
    <row r="2386" spans="1:2" x14ac:dyDescent="0.35">
      <c r="A2386" s="118">
        <v>42559</v>
      </c>
      <c r="B2386" s="119">
        <v>11172.39</v>
      </c>
    </row>
    <row r="2387" spans="1:2" x14ac:dyDescent="0.35">
      <c r="A2387" s="118">
        <v>42558</v>
      </c>
      <c r="B2387" s="119">
        <v>11192.11</v>
      </c>
    </row>
    <row r="2388" spans="1:2" x14ac:dyDescent="0.35">
      <c r="A2388" s="118">
        <v>42556</v>
      </c>
      <c r="B2388" s="119">
        <v>11186.41</v>
      </c>
    </row>
    <row r="2389" spans="1:2" x14ac:dyDescent="0.35">
      <c r="A2389" s="118">
        <v>42555</v>
      </c>
      <c r="B2389" s="119">
        <v>11233.09</v>
      </c>
    </row>
    <row r="2390" spans="1:2" x14ac:dyDescent="0.35">
      <c r="A2390" s="118">
        <v>42552</v>
      </c>
      <c r="B2390" s="119">
        <v>11175.85</v>
      </c>
    </row>
    <row r="2391" spans="1:2" x14ac:dyDescent="0.35">
      <c r="A2391" s="118">
        <v>42551</v>
      </c>
      <c r="B2391" s="119">
        <v>11121.39</v>
      </c>
    </row>
    <row r="2392" spans="1:2" x14ac:dyDescent="0.35">
      <c r="A2392" s="118">
        <v>42550</v>
      </c>
      <c r="B2392" s="119">
        <v>11009.02</v>
      </c>
    </row>
    <row r="2393" spans="1:2" x14ac:dyDescent="0.35">
      <c r="A2393" s="118">
        <v>42549</v>
      </c>
      <c r="B2393" s="119">
        <v>10899.91</v>
      </c>
    </row>
    <row r="2394" spans="1:2" x14ac:dyDescent="0.35">
      <c r="A2394" s="118">
        <v>42548</v>
      </c>
      <c r="B2394" s="119">
        <v>10855.5</v>
      </c>
    </row>
    <row r="2395" spans="1:2" x14ac:dyDescent="0.35">
      <c r="A2395" s="118">
        <v>42545</v>
      </c>
      <c r="B2395" s="119">
        <v>10847.29</v>
      </c>
    </row>
    <row r="2396" spans="1:2" x14ac:dyDescent="0.35">
      <c r="A2396" s="118">
        <v>42544</v>
      </c>
      <c r="B2396" s="119">
        <v>11091.16</v>
      </c>
    </row>
    <row r="2397" spans="1:2" x14ac:dyDescent="0.35">
      <c r="A2397" s="118">
        <v>42543</v>
      </c>
      <c r="B2397" s="119">
        <v>11000.82</v>
      </c>
    </row>
    <row r="2398" spans="1:2" x14ac:dyDescent="0.35">
      <c r="A2398" s="118">
        <v>42542</v>
      </c>
      <c r="B2398" s="119">
        <v>11020.11</v>
      </c>
    </row>
    <row r="2399" spans="1:2" x14ac:dyDescent="0.35">
      <c r="A2399" s="118">
        <v>42541</v>
      </c>
      <c r="B2399" s="119">
        <v>11045.03</v>
      </c>
    </row>
    <row r="2400" spans="1:2" x14ac:dyDescent="0.35">
      <c r="A2400" s="118">
        <v>42538</v>
      </c>
      <c r="B2400" s="119">
        <v>10953.44</v>
      </c>
    </row>
    <row r="2401" spans="1:2" x14ac:dyDescent="0.35">
      <c r="A2401" s="118">
        <v>42537</v>
      </c>
      <c r="B2401" s="119">
        <v>10913.97</v>
      </c>
    </row>
    <row r="2402" spans="1:2" x14ac:dyDescent="0.35">
      <c r="A2402" s="118">
        <v>42536</v>
      </c>
      <c r="B2402" s="119">
        <v>10990.64</v>
      </c>
    </row>
    <row r="2403" spans="1:2" x14ac:dyDescent="0.35">
      <c r="A2403" s="118">
        <v>42535</v>
      </c>
      <c r="B2403" s="119">
        <v>10859.76</v>
      </c>
    </row>
    <row r="2404" spans="1:2" x14ac:dyDescent="0.35">
      <c r="A2404" s="118">
        <v>42534</v>
      </c>
      <c r="B2404" s="119">
        <v>10862.06</v>
      </c>
    </row>
    <row r="2405" spans="1:2" x14ac:dyDescent="0.35">
      <c r="A2405" s="118">
        <v>42531</v>
      </c>
      <c r="B2405" s="119">
        <v>10941.7</v>
      </c>
    </row>
    <row r="2406" spans="1:2" x14ac:dyDescent="0.35">
      <c r="A2406" s="118">
        <v>42530</v>
      </c>
      <c r="B2406" s="119">
        <v>10986.64</v>
      </c>
    </row>
    <row r="2407" spans="1:2" x14ac:dyDescent="0.35">
      <c r="A2407" s="118">
        <v>42529</v>
      </c>
      <c r="B2407" s="119">
        <v>11068.75</v>
      </c>
    </row>
    <row r="2408" spans="1:2" x14ac:dyDescent="0.35">
      <c r="A2408" s="118">
        <v>42528</v>
      </c>
      <c r="B2408" s="119">
        <v>11059.93</v>
      </c>
    </row>
    <row r="2409" spans="1:2" x14ac:dyDescent="0.35">
      <c r="A2409" s="118">
        <v>42527</v>
      </c>
      <c r="B2409" s="119">
        <v>10972.45</v>
      </c>
    </row>
    <row r="2410" spans="1:2" x14ac:dyDescent="0.35">
      <c r="A2410" s="118">
        <v>42524</v>
      </c>
      <c r="B2410" s="119">
        <v>10992.21</v>
      </c>
    </row>
    <row r="2411" spans="1:2" x14ac:dyDescent="0.35">
      <c r="A2411" s="118">
        <v>42523</v>
      </c>
      <c r="B2411" s="119">
        <v>10986.77</v>
      </c>
    </row>
    <row r="2412" spans="1:2" x14ac:dyDescent="0.35">
      <c r="A2412" s="118">
        <v>42522</v>
      </c>
      <c r="B2412" s="119">
        <v>10934.62</v>
      </c>
    </row>
    <row r="2413" spans="1:2" x14ac:dyDescent="0.35">
      <c r="A2413" s="118">
        <v>42521</v>
      </c>
      <c r="B2413" s="119">
        <v>10908.07</v>
      </c>
    </row>
    <row r="2414" spans="1:2" x14ac:dyDescent="0.35">
      <c r="A2414" s="118">
        <v>42520</v>
      </c>
      <c r="B2414" s="119">
        <v>10932.7</v>
      </c>
    </row>
    <row r="2415" spans="1:2" x14ac:dyDescent="0.35">
      <c r="A2415" s="118">
        <v>42517</v>
      </c>
      <c r="B2415" s="119">
        <v>10884.88</v>
      </c>
    </row>
    <row r="2416" spans="1:2" x14ac:dyDescent="0.35">
      <c r="A2416" s="118">
        <v>42516</v>
      </c>
      <c r="B2416" s="119">
        <v>10768.78</v>
      </c>
    </row>
    <row r="2417" spans="1:2" x14ac:dyDescent="0.35">
      <c r="A2417" s="118">
        <v>42515</v>
      </c>
      <c r="B2417" s="119">
        <v>10588.92</v>
      </c>
    </row>
    <row r="2418" spans="1:2" x14ac:dyDescent="0.35">
      <c r="A2418" s="118">
        <v>42514</v>
      </c>
      <c r="B2418" s="119">
        <v>10340.65</v>
      </c>
    </row>
    <row r="2419" spans="1:2" x14ac:dyDescent="0.35">
      <c r="A2419" s="118">
        <v>42513</v>
      </c>
      <c r="B2419" s="119">
        <v>10316.91</v>
      </c>
    </row>
    <row r="2420" spans="1:2" x14ac:dyDescent="0.35">
      <c r="A2420" s="118">
        <v>42510</v>
      </c>
      <c r="B2420" s="119">
        <v>10341.790000000001</v>
      </c>
    </row>
    <row r="2421" spans="1:2" x14ac:dyDescent="0.35">
      <c r="A2421" s="118">
        <v>42509</v>
      </c>
      <c r="B2421" s="119">
        <v>10386.75</v>
      </c>
    </row>
    <row r="2422" spans="1:2" x14ac:dyDescent="0.35">
      <c r="A2422" s="118">
        <v>42508</v>
      </c>
      <c r="B2422" s="119">
        <v>10502.51</v>
      </c>
    </row>
    <row r="2423" spans="1:2" x14ac:dyDescent="0.35">
      <c r="A2423" s="118">
        <v>42507</v>
      </c>
      <c r="B2423" s="119">
        <v>10530.03</v>
      </c>
    </row>
    <row r="2424" spans="1:2" x14ac:dyDescent="0.35">
      <c r="A2424" s="118">
        <v>42506</v>
      </c>
      <c r="B2424" s="119">
        <v>10489.97</v>
      </c>
    </row>
    <row r="2425" spans="1:2" x14ac:dyDescent="0.35">
      <c r="A2425" s="118">
        <v>42503</v>
      </c>
      <c r="B2425" s="119">
        <v>10428.780000000001</v>
      </c>
    </row>
    <row r="2426" spans="1:2" x14ac:dyDescent="0.35">
      <c r="A2426" s="118">
        <v>42502</v>
      </c>
      <c r="B2426" s="119">
        <v>10542.93</v>
      </c>
    </row>
    <row r="2427" spans="1:2" x14ac:dyDescent="0.35">
      <c r="A2427" s="118">
        <v>42501</v>
      </c>
      <c r="B2427" s="119">
        <v>10474.1</v>
      </c>
    </row>
    <row r="2428" spans="1:2" x14ac:dyDescent="0.35">
      <c r="A2428" s="118">
        <v>42500</v>
      </c>
      <c r="B2428" s="119">
        <v>10526.11</v>
      </c>
    </row>
    <row r="2429" spans="1:2" x14ac:dyDescent="0.35">
      <c r="A2429" s="118">
        <v>42499</v>
      </c>
      <c r="B2429" s="119">
        <v>10497.09</v>
      </c>
    </row>
    <row r="2430" spans="1:2" x14ac:dyDescent="0.35">
      <c r="A2430" s="118">
        <v>42496</v>
      </c>
      <c r="B2430" s="119">
        <v>10320.120000000001</v>
      </c>
    </row>
    <row r="2431" spans="1:2" x14ac:dyDescent="0.35">
      <c r="A2431" s="118">
        <v>42495</v>
      </c>
      <c r="B2431" s="119">
        <v>10322.82</v>
      </c>
    </row>
    <row r="2432" spans="1:2" x14ac:dyDescent="0.35">
      <c r="A2432" s="118">
        <v>42494</v>
      </c>
      <c r="B2432" s="119">
        <v>10283.01</v>
      </c>
    </row>
    <row r="2433" spans="1:2" x14ac:dyDescent="0.35">
      <c r="A2433" s="118">
        <v>42493</v>
      </c>
      <c r="B2433" s="119">
        <v>10336.969999999999</v>
      </c>
    </row>
    <row r="2434" spans="1:2" x14ac:dyDescent="0.35">
      <c r="A2434" s="118">
        <v>42492</v>
      </c>
      <c r="B2434" s="119">
        <v>10415.52</v>
      </c>
    </row>
    <row r="2435" spans="1:2" x14ac:dyDescent="0.35">
      <c r="A2435" s="118">
        <v>42489</v>
      </c>
      <c r="B2435" s="119">
        <v>10474.15</v>
      </c>
    </row>
    <row r="2436" spans="1:2" x14ac:dyDescent="0.35">
      <c r="A2436" s="118">
        <v>42488</v>
      </c>
      <c r="B2436" s="119">
        <v>10470.709999999999</v>
      </c>
    </row>
    <row r="2437" spans="1:2" x14ac:dyDescent="0.35">
      <c r="A2437" s="118">
        <v>42487</v>
      </c>
      <c r="B2437" s="119">
        <v>10647.74</v>
      </c>
    </row>
    <row r="2438" spans="1:2" x14ac:dyDescent="0.35">
      <c r="A2438" s="118">
        <v>42486</v>
      </c>
      <c r="B2438" s="119">
        <v>10624.72</v>
      </c>
    </row>
    <row r="2439" spans="1:2" x14ac:dyDescent="0.35">
      <c r="A2439" s="118">
        <v>42485</v>
      </c>
      <c r="B2439" s="119">
        <v>10481.120000000001</v>
      </c>
    </row>
    <row r="2440" spans="1:2" x14ac:dyDescent="0.35">
      <c r="A2440" s="118">
        <v>42482</v>
      </c>
      <c r="B2440" s="119">
        <v>10540.19</v>
      </c>
    </row>
    <row r="2441" spans="1:2" x14ac:dyDescent="0.35">
      <c r="A2441" s="118">
        <v>42481</v>
      </c>
      <c r="B2441" s="119">
        <v>10557.22</v>
      </c>
    </row>
    <row r="2442" spans="1:2" x14ac:dyDescent="0.35">
      <c r="A2442" s="118">
        <v>42480</v>
      </c>
      <c r="B2442" s="119">
        <v>10560.79</v>
      </c>
    </row>
    <row r="2443" spans="1:2" x14ac:dyDescent="0.35">
      <c r="A2443" s="118">
        <v>42478</v>
      </c>
      <c r="B2443" s="119">
        <v>10560.74</v>
      </c>
    </row>
    <row r="2444" spans="1:2" x14ac:dyDescent="0.35">
      <c r="A2444" s="118">
        <v>42473</v>
      </c>
      <c r="B2444" s="119">
        <v>10475.02</v>
      </c>
    </row>
    <row r="2445" spans="1:2" x14ac:dyDescent="0.35">
      <c r="A2445" s="118">
        <v>42472</v>
      </c>
      <c r="B2445" s="119">
        <v>10286.18</v>
      </c>
    </row>
    <row r="2446" spans="1:2" x14ac:dyDescent="0.35">
      <c r="A2446" s="118">
        <v>42471</v>
      </c>
      <c r="B2446" s="119">
        <v>10236.11</v>
      </c>
    </row>
    <row r="2447" spans="1:2" x14ac:dyDescent="0.35">
      <c r="A2447" s="118">
        <v>42468</v>
      </c>
      <c r="B2447" s="119">
        <v>10081.01</v>
      </c>
    </row>
    <row r="2448" spans="1:2" x14ac:dyDescent="0.35">
      <c r="A2448" s="118">
        <v>42467</v>
      </c>
      <c r="B2448" s="119">
        <v>10069.36</v>
      </c>
    </row>
    <row r="2449" spans="1:2" x14ac:dyDescent="0.35">
      <c r="A2449" s="118">
        <v>42466</v>
      </c>
      <c r="B2449" s="119">
        <v>10159.98</v>
      </c>
    </row>
    <row r="2450" spans="1:2" x14ac:dyDescent="0.35">
      <c r="A2450" s="118">
        <v>42465</v>
      </c>
      <c r="B2450" s="119">
        <v>10145.1</v>
      </c>
    </row>
    <row r="2451" spans="1:2" x14ac:dyDescent="0.35">
      <c r="A2451" s="118">
        <v>42464</v>
      </c>
      <c r="B2451" s="119">
        <v>10352.69</v>
      </c>
    </row>
    <row r="2452" spans="1:2" x14ac:dyDescent="0.35">
      <c r="A2452" s="118">
        <v>42461</v>
      </c>
      <c r="B2452" s="119">
        <v>10291.69</v>
      </c>
    </row>
    <row r="2453" spans="1:2" x14ac:dyDescent="0.35">
      <c r="A2453" s="118">
        <v>42460</v>
      </c>
      <c r="B2453" s="119">
        <v>10325.5</v>
      </c>
    </row>
    <row r="2454" spans="1:2" x14ac:dyDescent="0.35">
      <c r="A2454" s="118">
        <v>42459</v>
      </c>
      <c r="B2454" s="119">
        <v>10321.200000000001</v>
      </c>
    </row>
    <row r="2455" spans="1:2" x14ac:dyDescent="0.35">
      <c r="A2455" s="118">
        <v>42458</v>
      </c>
      <c r="B2455" s="119">
        <v>10135.49</v>
      </c>
    </row>
    <row r="2456" spans="1:2" x14ac:dyDescent="0.35">
      <c r="A2456" s="118">
        <v>42457</v>
      </c>
      <c r="B2456" s="119">
        <v>10159.66</v>
      </c>
    </row>
    <row r="2457" spans="1:2" x14ac:dyDescent="0.35">
      <c r="A2457" s="118">
        <v>42452</v>
      </c>
      <c r="B2457" s="119">
        <v>10294.93</v>
      </c>
    </row>
    <row r="2458" spans="1:2" x14ac:dyDescent="0.35">
      <c r="A2458" s="118">
        <v>42451</v>
      </c>
      <c r="B2458" s="119">
        <v>10292.77</v>
      </c>
    </row>
    <row r="2459" spans="1:2" x14ac:dyDescent="0.35">
      <c r="A2459" s="118">
        <v>42450</v>
      </c>
      <c r="B2459" s="119">
        <v>10278.299999999999</v>
      </c>
    </row>
    <row r="2460" spans="1:2" x14ac:dyDescent="0.35">
      <c r="A2460" s="118">
        <v>42447</v>
      </c>
      <c r="B2460" s="119">
        <v>10143.6</v>
      </c>
    </row>
    <row r="2461" spans="1:2" x14ac:dyDescent="0.35">
      <c r="A2461" s="118">
        <v>42446</v>
      </c>
      <c r="B2461" s="119">
        <v>10021.129999999999</v>
      </c>
    </row>
    <row r="2462" spans="1:2" x14ac:dyDescent="0.35">
      <c r="A2462" s="118">
        <v>42445</v>
      </c>
      <c r="B2462" s="119">
        <v>9997.9</v>
      </c>
    </row>
    <row r="2463" spans="1:2" x14ac:dyDescent="0.35">
      <c r="A2463" s="118">
        <v>42444</v>
      </c>
      <c r="B2463" s="119">
        <v>9944.76</v>
      </c>
    </row>
    <row r="2464" spans="1:2" x14ac:dyDescent="0.35">
      <c r="A2464" s="118">
        <v>42443</v>
      </c>
      <c r="B2464" s="119">
        <v>10048.89</v>
      </c>
    </row>
    <row r="2465" spans="1:2" x14ac:dyDescent="0.35">
      <c r="A2465" s="118">
        <v>42440</v>
      </c>
      <c r="B2465" s="119">
        <v>10001.18</v>
      </c>
    </row>
    <row r="2466" spans="1:2" x14ac:dyDescent="0.35">
      <c r="A2466" s="118">
        <v>42439</v>
      </c>
      <c r="B2466" s="119">
        <v>9969.15</v>
      </c>
    </row>
    <row r="2467" spans="1:2" x14ac:dyDescent="0.35">
      <c r="A2467" s="118">
        <v>42438</v>
      </c>
      <c r="B2467" s="119">
        <v>10029.959999999999</v>
      </c>
    </row>
    <row r="2468" spans="1:2" x14ac:dyDescent="0.35">
      <c r="A2468" s="118">
        <v>42437</v>
      </c>
      <c r="B2468" s="119">
        <v>9967.99</v>
      </c>
    </row>
    <row r="2469" spans="1:2" x14ac:dyDescent="0.35">
      <c r="A2469" s="118">
        <v>42433</v>
      </c>
      <c r="B2469" s="119">
        <v>9968.09</v>
      </c>
    </row>
    <row r="2470" spans="1:2" x14ac:dyDescent="0.35">
      <c r="A2470" s="118">
        <v>42432</v>
      </c>
      <c r="B2470" s="119">
        <v>9955.1</v>
      </c>
    </row>
    <row r="2471" spans="1:2" x14ac:dyDescent="0.35">
      <c r="A2471" s="118">
        <v>42431</v>
      </c>
      <c r="B2471" s="119">
        <v>9812.68</v>
      </c>
    </row>
    <row r="2472" spans="1:2" x14ac:dyDescent="0.35">
      <c r="A2472" s="118">
        <v>42430</v>
      </c>
      <c r="B2472" s="119">
        <v>9617.51</v>
      </c>
    </row>
    <row r="2473" spans="1:2" x14ac:dyDescent="0.35">
      <c r="A2473" s="118">
        <v>42429</v>
      </c>
      <c r="B2473" s="119">
        <v>9304.26</v>
      </c>
    </row>
    <row r="2474" spans="1:2" x14ac:dyDescent="0.35">
      <c r="A2474" s="118">
        <v>42426</v>
      </c>
      <c r="B2474" s="119">
        <v>9361.1</v>
      </c>
    </row>
    <row r="2475" spans="1:2" x14ac:dyDescent="0.35">
      <c r="A2475" s="118">
        <v>42425</v>
      </c>
      <c r="B2475" s="119">
        <v>9282.3799999999992</v>
      </c>
    </row>
    <row r="2476" spans="1:2" x14ac:dyDescent="0.35">
      <c r="A2476" s="118">
        <v>42424</v>
      </c>
      <c r="B2476" s="119">
        <v>9346.39</v>
      </c>
    </row>
    <row r="2477" spans="1:2" x14ac:dyDescent="0.35">
      <c r="A2477" s="118">
        <v>42423</v>
      </c>
      <c r="B2477" s="119">
        <v>9467.41</v>
      </c>
    </row>
    <row r="2478" spans="1:2" x14ac:dyDescent="0.35">
      <c r="A2478" s="118">
        <v>42422</v>
      </c>
      <c r="B2478" s="119">
        <v>9633.83</v>
      </c>
    </row>
    <row r="2479" spans="1:2" x14ac:dyDescent="0.35">
      <c r="A2479" s="118">
        <v>42419</v>
      </c>
      <c r="B2479" s="119">
        <v>9601.77</v>
      </c>
    </row>
    <row r="2480" spans="1:2" x14ac:dyDescent="0.35">
      <c r="A2480" s="118">
        <v>42418</v>
      </c>
      <c r="B2480" s="119">
        <v>9576.4599999999991</v>
      </c>
    </row>
    <row r="2481" spans="1:2" x14ac:dyDescent="0.35">
      <c r="A2481" s="118">
        <v>42417</v>
      </c>
      <c r="B2481" s="119">
        <v>9465.52</v>
      </c>
    </row>
    <row r="2482" spans="1:2" x14ac:dyDescent="0.35">
      <c r="A2482" s="118">
        <v>42416</v>
      </c>
      <c r="B2482" s="119">
        <v>9385.36</v>
      </c>
    </row>
    <row r="2483" spans="1:2" x14ac:dyDescent="0.35">
      <c r="A2483" s="118">
        <v>42415</v>
      </c>
      <c r="B2483" s="119">
        <v>9537.74</v>
      </c>
    </row>
  </sheetData>
  <pageMargins left="0.7" right="0.7" top="0.75" bottom="0.75" header="0.3" footer="0.3"/>
</worksheet>
</file>

<file path=xl/worksheets/sheet10.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8716223E-4F4D-480E-8B55-7A61F6C102C4}">
  <dimension ref="A1:N44"/>
  <sheetViews>
    <sheetView showGridLines="0" topLeftCell="A18" zoomScale="62" zoomScaleNormal="62" workbookViewId="0">
      <selection activeCell="M31" sqref="M31"/>
    </sheetView>
  </sheetViews>
  <sheetFormatPr defaultColWidth="11.6328125" defaultRowHeight="15.5" x14ac:dyDescent="0.35"/>
  <cols>
    <col min="1" max="3" width="1.26953125" style="1" customWidth="1"/>
    <col min="4" max="4" width="40.6328125" style="1" customWidth="1"/>
    <col min="5" max="6" width="12.6328125" style="1" customWidth="1"/>
    <col min="7" max="7" width="2.6328125" style="1" customWidth="1"/>
    <col min="8" max="8" width="12" style="1" bestFit="1" customWidth="1"/>
    <col min="9" max="16384" width="11.6328125" style="1"/>
  </cols>
  <sheetData>
    <row r="1" spans="1:14" ht="28" x14ac:dyDescent="0.6">
      <c r="A1" s="160" t="str">
        <f>Historical!A1</f>
        <v>THANGAMAYIL JEWELLERY LIMITED</v>
      </c>
      <c r="B1" s="126"/>
      <c r="C1" s="126"/>
      <c r="D1" s="126"/>
      <c r="E1" s="126"/>
      <c r="F1" s="126"/>
      <c r="G1" s="123"/>
      <c r="H1" s="127"/>
      <c r="I1" s="127"/>
      <c r="J1" s="127"/>
      <c r="K1" s="127"/>
      <c r="L1" s="127"/>
      <c r="M1" s="127"/>
      <c r="N1" s="127"/>
    </row>
    <row r="2" spans="1:14" x14ac:dyDescent="0.35">
      <c r="A2" s="124" t="s">
        <v>310</v>
      </c>
      <c r="B2" s="126"/>
      <c r="C2" s="126"/>
      <c r="D2" s="126"/>
      <c r="E2" s="126"/>
      <c r="F2" s="126"/>
      <c r="G2" s="124"/>
      <c r="H2" s="127"/>
      <c r="I2" s="127"/>
      <c r="J2" s="127"/>
      <c r="K2" s="127"/>
      <c r="L2" s="127"/>
      <c r="M2" s="127"/>
      <c r="N2" s="127"/>
    </row>
    <row r="3" spans="1:14" x14ac:dyDescent="0.35">
      <c r="A3" s="125"/>
      <c r="B3" s="127"/>
      <c r="C3" s="127"/>
      <c r="D3" s="127"/>
      <c r="E3" s="127"/>
      <c r="F3" s="127"/>
      <c r="G3" s="127"/>
      <c r="H3" s="127"/>
      <c r="I3" s="127"/>
      <c r="J3" s="127"/>
      <c r="K3" s="127"/>
      <c r="L3" s="127"/>
      <c r="M3" s="127"/>
      <c r="N3" s="127"/>
    </row>
    <row r="6" spans="1:14" x14ac:dyDescent="0.35">
      <c r="A6" s="124" t="s">
        <v>311</v>
      </c>
      <c r="B6" s="112"/>
      <c r="C6" s="112"/>
      <c r="D6" s="112"/>
      <c r="E6" s="112"/>
      <c r="F6" s="112"/>
      <c r="G6" s="112"/>
      <c r="H6" s="112"/>
      <c r="I6" s="112"/>
      <c r="J6" s="112"/>
      <c r="K6" s="114"/>
      <c r="L6" s="112"/>
      <c r="M6" s="112"/>
      <c r="N6" s="112"/>
    </row>
    <row r="8" spans="1:14" x14ac:dyDescent="0.35">
      <c r="H8" s="136" t="s">
        <v>47</v>
      </c>
      <c r="I8" s="136" t="s">
        <v>205</v>
      </c>
      <c r="J8" s="147" t="s">
        <v>312</v>
      </c>
      <c r="K8" s="147" t="s">
        <v>312</v>
      </c>
      <c r="L8" s="147" t="s">
        <v>114</v>
      </c>
      <c r="M8" s="147" t="s">
        <v>313</v>
      </c>
      <c r="N8" s="147" t="s">
        <v>314</v>
      </c>
    </row>
    <row r="9" spans="1:14" ht="16" thickBot="1" x14ac:dyDescent="0.4">
      <c r="C9" s="29" t="s">
        <v>315</v>
      </c>
      <c r="D9" s="33"/>
      <c r="E9" s="33"/>
      <c r="F9" s="33"/>
      <c r="G9" s="33"/>
      <c r="H9" s="162" t="s">
        <v>316</v>
      </c>
      <c r="I9" s="137" t="s">
        <v>172</v>
      </c>
      <c r="J9" s="148" t="s">
        <v>47</v>
      </c>
      <c r="K9" s="148" t="s">
        <v>317</v>
      </c>
      <c r="L9" s="148" t="s">
        <v>318</v>
      </c>
      <c r="M9" s="148" t="s">
        <v>319</v>
      </c>
      <c r="N9" s="148" t="s">
        <v>319</v>
      </c>
    </row>
    <row r="10" spans="1:14" x14ac:dyDescent="0.35">
      <c r="D10" s="85" t="str">
        <f>Comps_data!A4</f>
        <v>P N Gadgil</v>
      </c>
      <c r="E10" s="130"/>
      <c r="F10" s="130"/>
      <c r="G10" s="130"/>
      <c r="H10" s="161">
        <f>Comps!J8</f>
        <v>703239.48745050002</v>
      </c>
      <c r="I10" s="138">
        <f>Comps!K8</f>
        <v>134105.663475326</v>
      </c>
      <c r="J10" s="149">
        <f>I10/H10</f>
        <v>0.19069700417635535</v>
      </c>
      <c r="K10" s="149">
        <f>I10/(H10+I10)</f>
        <v>0.16015577725272501</v>
      </c>
      <c r="L10" s="153">
        <f>Comps_data!J4</f>
        <v>0.26096800000000003</v>
      </c>
      <c r="M10" s="156"/>
      <c r="N10" s="159">
        <f>M10/(1+J10*(1-L10))</f>
        <v>0</v>
      </c>
    </row>
    <row r="11" spans="1:14" x14ac:dyDescent="0.35">
      <c r="D11" s="85" t="str">
        <f>Comps_data!A5</f>
        <v>Tribhovandas Bhimji Zaveri Limited</v>
      </c>
      <c r="H11" s="161">
        <f>Comps!J9</f>
        <v>87345.263390000007</v>
      </c>
      <c r="I11" s="161">
        <f>Comps!K9</f>
        <v>85383.807211250998</v>
      </c>
      <c r="J11" s="149">
        <f>I11/H11</f>
        <v>0.97754364572706098</v>
      </c>
      <c r="K11" s="149">
        <f>I11/(H11+I11)</f>
        <v>0.49432215963438758</v>
      </c>
      <c r="L11" s="154">
        <f>Comps_data!J5</f>
        <v>0.26358999999999999</v>
      </c>
      <c r="M11" s="157">
        <v>0.08</v>
      </c>
      <c r="N11" s="159">
        <f>M11/(1+J11*(1-L11))</f>
        <v>4.6515064717159035E-2</v>
      </c>
    </row>
    <row r="12" spans="1:14" x14ac:dyDescent="0.35">
      <c r="D12" s="85" t="str">
        <f>Comps_data!A6</f>
        <v>Kalyan Jewellers India Limited</v>
      </c>
      <c r="H12" s="161">
        <f>Comps!J10</f>
        <v>3959905.6493190001</v>
      </c>
      <c r="I12" s="161">
        <f>Comps!K10</f>
        <v>554128.31408089935</v>
      </c>
      <c r="J12" s="149">
        <f>I12/H12</f>
        <v>0.13993472651960656</v>
      </c>
      <c r="K12" s="149">
        <f>I12/(H12+I12)</f>
        <v>0.12275678884425997</v>
      </c>
      <c r="L12" s="154">
        <f>Comps_data!J6</f>
        <v>0.253743</v>
      </c>
      <c r="M12" s="157">
        <v>-0.18</v>
      </c>
      <c r="N12" s="159">
        <f>M12/(1+J12*(1-L12))</f>
        <v>-0.16298040171447842</v>
      </c>
    </row>
    <row r="13" spans="1:14" x14ac:dyDescent="0.35">
      <c r="D13" s="85" t="str">
        <f>Comps_data!A7</f>
        <v>Senco Gold Limited</v>
      </c>
      <c r="H13" s="161">
        <f>Comps!J11</f>
        <v>478711.78017300001</v>
      </c>
      <c r="I13" s="161">
        <f>Comps!K11</f>
        <v>255257.80759878925</v>
      </c>
      <c r="J13" s="149">
        <f>I13/H13</f>
        <v>0.5332181453870688</v>
      </c>
      <c r="K13" s="149">
        <f>I13/(H13+I13)</f>
        <v>0.34777709029295056</v>
      </c>
      <c r="L13" s="154">
        <f>Comps_data!J7</f>
        <v>0.24563600000000002</v>
      </c>
      <c r="M13" s="157">
        <v>0.06</v>
      </c>
      <c r="N13" s="159">
        <f>M13/(1+J13*(1-L13))</f>
        <v>4.2788663481964806E-2</v>
      </c>
    </row>
    <row r="14" spans="1:14" x14ac:dyDescent="0.35">
      <c r="D14" s="131" t="s">
        <v>233</v>
      </c>
      <c r="E14" s="131"/>
      <c r="F14" s="131"/>
      <c r="G14" s="131"/>
      <c r="H14" s="131"/>
      <c r="I14" s="131"/>
      <c r="J14" s="150">
        <f>AVERAGE(J10:J13)</f>
        <v>0.46034838045252291</v>
      </c>
      <c r="K14" s="150">
        <f>AVERAGE(K10:K13)</f>
        <v>0.28125295400608075</v>
      </c>
      <c r="L14" s="150">
        <f>AVERAGE(L10:L13)</f>
        <v>0.25598425000000002</v>
      </c>
      <c r="M14" s="163">
        <f>AVERAGE(M10:M13)</f>
        <v>-1.3333333333333331E-2</v>
      </c>
      <c r="N14" s="163">
        <f>AVERAGE(N10:N13)</f>
        <v>-1.8419168378838644E-2</v>
      </c>
    </row>
    <row r="15" spans="1:14" x14ac:dyDescent="0.35">
      <c r="D15" s="131" t="s">
        <v>300</v>
      </c>
      <c r="E15" s="131"/>
      <c r="F15" s="131"/>
      <c r="G15" s="131"/>
      <c r="H15" s="131"/>
      <c r="I15" s="131"/>
      <c r="J15" s="150">
        <f>MEDIAN(J10:J13)</f>
        <v>0.36195757478171209</v>
      </c>
      <c r="K15" s="150">
        <f>MEDIAN(K10:K13)</f>
        <v>0.25396643377283779</v>
      </c>
      <c r="L15" s="150">
        <f>MEDIAN(L10:L13)</f>
        <v>0.25735550000000001</v>
      </c>
      <c r="M15" s="163">
        <f>MEDIAN(M10:M13)</f>
        <v>0.06</v>
      </c>
      <c r="N15" s="163">
        <f>MEDIAN(N10:N13)</f>
        <v>2.1394331740982403E-2</v>
      </c>
    </row>
    <row r="17" spans="1:14" x14ac:dyDescent="0.35">
      <c r="D17" s="132" t="str">
        <f>Comps_data!A2</f>
        <v>Thangamayil Jewellery Limited</v>
      </c>
      <c r="E17" s="135"/>
      <c r="F17" s="135"/>
      <c r="G17" s="135"/>
      <c r="H17" s="139">
        <f>Comps!J16</f>
        <v>1052076.9493410001</v>
      </c>
      <c r="I17" s="139">
        <f>Comps!K16</f>
        <v>116783.37526446776</v>
      </c>
      <c r="J17" s="151">
        <f>I17/H17</f>
        <v>0.11100269361249529</v>
      </c>
      <c r="K17" s="152">
        <f>I17/(H17+I17)</f>
        <v>9.9912173256360925E-2</v>
      </c>
      <c r="L17" s="155">
        <f>Comps_data!J2</f>
        <v>0.26421099999999997</v>
      </c>
      <c r="M17" s="158">
        <v>0.45</v>
      </c>
      <c r="N17" s="158"/>
    </row>
    <row r="20" spans="1:14" x14ac:dyDescent="0.35">
      <c r="A20" s="124" t="s">
        <v>320</v>
      </c>
      <c r="B20" s="112"/>
      <c r="C20" s="112"/>
      <c r="D20" s="112"/>
      <c r="E20" s="112"/>
      <c r="F20" s="112"/>
      <c r="G20" s="112"/>
      <c r="H20" s="112"/>
    </row>
    <row r="22" spans="1:14" x14ac:dyDescent="0.35">
      <c r="B22" s="4"/>
      <c r="C22" s="128" t="s">
        <v>321</v>
      </c>
      <c r="D22" s="133"/>
      <c r="E22" s="133"/>
      <c r="F22" s="133"/>
      <c r="G22" s="133"/>
      <c r="H22" s="133"/>
    </row>
    <row r="24" spans="1:14" x14ac:dyDescent="0.35">
      <c r="D24" s="50" t="s">
        <v>322</v>
      </c>
      <c r="E24" s="50"/>
      <c r="F24" s="50"/>
      <c r="G24" s="50"/>
      <c r="H24" s="140">
        <f>K14</f>
        <v>0.28125295400608075</v>
      </c>
    </row>
    <row r="25" spans="1:14" x14ac:dyDescent="0.35">
      <c r="D25" s="1" t="s">
        <v>323</v>
      </c>
      <c r="H25" s="35">
        <f>1-H24</f>
        <v>0.71874704599391925</v>
      </c>
    </row>
    <row r="26" spans="1:14" x14ac:dyDescent="0.35">
      <c r="C26" s="128" t="s">
        <v>324</v>
      </c>
      <c r="D26" s="133"/>
      <c r="E26" s="133"/>
      <c r="F26" s="133"/>
      <c r="G26" s="133"/>
      <c r="H26" s="133"/>
    </row>
    <row r="27" spans="1:14" x14ac:dyDescent="0.35">
      <c r="D27" s="1" t="s">
        <v>245</v>
      </c>
      <c r="H27" s="111">
        <f>H17</f>
        <v>1052076.9493410001</v>
      </c>
    </row>
    <row r="28" spans="1:14" x14ac:dyDescent="0.35">
      <c r="D28" s="1" t="s">
        <v>295</v>
      </c>
      <c r="H28" s="111">
        <f>I17</f>
        <v>116783.37526446776</v>
      </c>
    </row>
    <row r="29" spans="1:14" x14ac:dyDescent="0.35">
      <c r="D29" s="1" t="s">
        <v>325</v>
      </c>
      <c r="H29" s="35">
        <f>J17</f>
        <v>0.11100269361249529</v>
      </c>
    </row>
    <row r="31" spans="1:14" x14ac:dyDescent="0.35">
      <c r="C31" s="129" t="s">
        <v>326</v>
      </c>
      <c r="D31" s="134"/>
      <c r="E31" s="134"/>
      <c r="F31" s="134"/>
      <c r="G31" s="134"/>
      <c r="H31" s="134"/>
    </row>
    <row r="32" spans="1:14" x14ac:dyDescent="0.35">
      <c r="D32" s="1" t="s">
        <v>327</v>
      </c>
      <c r="H32" s="141">
        <f>Model!M13</f>
        <v>7.7210858775755759E-2</v>
      </c>
    </row>
    <row r="33" spans="3:8" x14ac:dyDescent="0.35">
      <c r="D33" s="44" t="s">
        <v>220</v>
      </c>
      <c r="E33" s="44"/>
      <c r="F33" s="44"/>
      <c r="G33" s="44"/>
      <c r="H33" s="142">
        <v>0.25169999999999998</v>
      </c>
    </row>
    <row r="34" spans="3:8" x14ac:dyDescent="0.35">
      <c r="D34" s="4" t="s">
        <v>328</v>
      </c>
      <c r="E34" s="4"/>
      <c r="F34" s="4"/>
      <c r="G34" s="4"/>
      <c r="H34" s="143">
        <f>H32*(1-H33)</f>
        <v>5.7776885621898033E-2</v>
      </c>
    </row>
    <row r="36" spans="3:8" x14ac:dyDescent="0.35">
      <c r="C36" s="129" t="s">
        <v>329</v>
      </c>
      <c r="D36" s="134"/>
      <c r="E36" s="134"/>
      <c r="F36" s="134"/>
      <c r="G36" s="134"/>
      <c r="H36" s="134"/>
    </row>
    <row r="37" spans="3:8" x14ac:dyDescent="0.35">
      <c r="D37" s="1" t="s">
        <v>330</v>
      </c>
      <c r="H37" s="35">
        <v>6.6799999999999998E-2</v>
      </c>
    </row>
    <row r="38" spans="3:8" x14ac:dyDescent="0.35">
      <c r="D38" s="1" t="s">
        <v>331</v>
      </c>
      <c r="H38" s="144">
        <f>Market_data!G9</f>
        <v>0.15102867273529497</v>
      </c>
    </row>
    <row r="39" spans="3:8" x14ac:dyDescent="0.35">
      <c r="D39" s="1" t="s">
        <v>332</v>
      </c>
      <c r="H39" s="35">
        <f>H38-H37</f>
        <v>8.4228672735294968E-2</v>
      </c>
    </row>
    <row r="40" spans="3:8" x14ac:dyDescent="0.35">
      <c r="D40" s="44" t="s">
        <v>333</v>
      </c>
      <c r="E40" s="44"/>
      <c r="F40" s="44"/>
      <c r="G40" s="44"/>
      <c r="H40" s="145">
        <f>M17*(1+H29*(1-H38))</f>
        <v>0.49240714685677089</v>
      </c>
    </row>
    <row r="41" spans="3:8" x14ac:dyDescent="0.35">
      <c r="D41" s="4" t="s">
        <v>329</v>
      </c>
      <c r="E41" s="4"/>
      <c r="F41" s="4"/>
      <c r="G41" s="4"/>
      <c r="H41" s="143">
        <f>H37+(H39*H40)</f>
        <v>0.10827480042511928</v>
      </c>
    </row>
    <row r="43" spans="3:8" ht="16" thickBot="1" x14ac:dyDescent="0.4">
      <c r="D43" s="54" t="s">
        <v>334</v>
      </c>
      <c r="E43" s="55"/>
      <c r="F43" s="55"/>
      <c r="G43" s="55"/>
      <c r="H43" s="146">
        <f>(H34*H24)+(H41*H25)</f>
        <v>9.4072112715565898E-2</v>
      </c>
    </row>
    <row r="44" spans="3:8" ht="16" thickTop="1" x14ac:dyDescent="0.35"/>
  </sheetData>
  <pageMargins left="0.7" right="0.7" top="0.75" bottom="0.75" header="0.3" footer="0.3"/>
</worksheet>
</file>

<file path=xl/worksheets/sheet1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13F12A62-E7C5-4207-9C6A-5D7659C4592B}">
  <sheetPr>
    <tabColor rgb="FFFF0000"/>
  </sheetPr>
  <dimension ref="A1:Q66"/>
  <sheetViews>
    <sheetView showGridLines="0" zoomScale="70" zoomScaleNormal="70" workbookViewId="0">
      <selection activeCell="T2" sqref="T2"/>
    </sheetView>
  </sheetViews>
  <sheetFormatPr defaultRowHeight="14.5" x14ac:dyDescent="0.35"/>
  <cols>
    <col min="2" max="2" width="11" bestFit="1" customWidth="1"/>
    <col min="3" max="3" width="10.453125" bestFit="1" customWidth="1"/>
    <col min="4" max="4" width="11" bestFit="1" customWidth="1"/>
    <col min="5" max="5" width="10.453125" bestFit="1" customWidth="1"/>
  </cols>
  <sheetData>
    <row r="1" spans="1:17" ht="28" x14ac:dyDescent="0.6">
      <c r="A1" s="160" t="str">
        <f>Historical!A1</f>
        <v>THANGAMAYIL JEWELLERY LIMITED</v>
      </c>
      <c r="B1" s="126"/>
      <c r="C1" s="126"/>
      <c r="D1" s="126"/>
      <c r="E1" s="126"/>
      <c r="F1" s="126"/>
      <c r="G1" s="123"/>
      <c r="H1" s="127"/>
      <c r="I1" s="127"/>
      <c r="J1" s="127"/>
      <c r="K1" s="127"/>
      <c r="L1" s="127"/>
      <c r="M1" s="127"/>
      <c r="N1" s="127"/>
      <c r="O1" s="34"/>
      <c r="P1" s="34"/>
      <c r="Q1" s="34"/>
    </row>
    <row r="2" spans="1:17" ht="15.5" x14ac:dyDescent="0.35">
      <c r="A2" s="124" t="s">
        <v>335</v>
      </c>
      <c r="B2" s="126"/>
      <c r="C2" s="126"/>
      <c r="D2" s="126"/>
      <c r="E2" s="126"/>
      <c r="F2" s="126"/>
      <c r="G2" s="124"/>
      <c r="H2" s="127"/>
      <c r="I2" s="127"/>
      <c r="J2" s="127"/>
      <c r="K2" s="127"/>
      <c r="L2" s="127"/>
      <c r="M2" s="127"/>
      <c r="N2" s="127"/>
      <c r="O2" s="34"/>
      <c r="P2" s="34"/>
      <c r="Q2" s="34"/>
    </row>
    <row r="3" spans="1:17" x14ac:dyDescent="0.35">
      <c r="A3" s="34"/>
      <c r="B3" s="34"/>
      <c r="C3" s="34"/>
      <c r="D3" s="34"/>
      <c r="E3" s="34"/>
      <c r="F3" s="34"/>
      <c r="G3" s="34"/>
      <c r="H3" s="34"/>
      <c r="I3" s="34"/>
      <c r="J3" s="34"/>
      <c r="K3" s="34"/>
      <c r="L3" s="34"/>
      <c r="M3" s="34"/>
      <c r="N3" s="34"/>
      <c r="O3" s="34"/>
      <c r="P3" s="34"/>
      <c r="Q3" s="34"/>
    </row>
    <row r="4" spans="1:17" x14ac:dyDescent="0.35">
      <c r="A4" s="164"/>
      <c r="B4" s="164" t="s">
        <v>306</v>
      </c>
      <c r="C4" s="164" t="s">
        <v>336</v>
      </c>
      <c r="D4" s="164" t="s">
        <v>337</v>
      </c>
      <c r="E4" s="164" t="s">
        <v>336</v>
      </c>
      <c r="F4" s="34"/>
      <c r="G4" s="34"/>
      <c r="H4" s="34"/>
      <c r="I4" s="34"/>
      <c r="J4" s="34"/>
      <c r="K4" s="34"/>
      <c r="L4" s="34"/>
      <c r="M4" s="34"/>
      <c r="N4" s="34"/>
      <c r="O4" s="34"/>
      <c r="P4" s="34"/>
      <c r="Q4" s="34"/>
    </row>
    <row r="5" spans="1:17" x14ac:dyDescent="0.35">
      <c r="A5" s="164" t="s">
        <v>229</v>
      </c>
      <c r="B5" s="164" t="s">
        <v>338</v>
      </c>
      <c r="C5" s="164" t="s">
        <v>339</v>
      </c>
      <c r="D5" s="164" t="s">
        <v>307</v>
      </c>
      <c r="E5" s="164" t="s">
        <v>339</v>
      </c>
      <c r="F5" s="34"/>
      <c r="G5" s="34"/>
      <c r="H5" s="34"/>
      <c r="I5" s="34"/>
      <c r="J5" s="34"/>
      <c r="K5" s="34"/>
      <c r="L5" s="34"/>
      <c r="M5" s="34"/>
      <c r="N5" s="34"/>
      <c r="O5" s="34"/>
      <c r="P5" s="34"/>
      <c r="Q5" s="34"/>
    </row>
    <row r="6" spans="1:17" x14ac:dyDescent="0.35">
      <c r="A6" s="165">
        <v>44228</v>
      </c>
      <c r="B6" s="104">
        <v>49099.99</v>
      </c>
      <c r="C6" s="166"/>
      <c r="D6" s="104">
        <v>629.35</v>
      </c>
      <c r="E6" s="34"/>
      <c r="F6" s="34"/>
      <c r="H6" s="34"/>
      <c r="I6" s="34"/>
      <c r="J6" s="166"/>
      <c r="K6" s="34"/>
      <c r="L6" s="34"/>
      <c r="M6" s="34"/>
      <c r="N6" s="34"/>
      <c r="O6" s="34"/>
      <c r="P6" s="34"/>
      <c r="Q6" s="34"/>
    </row>
    <row r="7" spans="1:17" ht="15" thickBot="1" x14ac:dyDescent="0.4">
      <c r="A7" s="165">
        <v>44256</v>
      </c>
      <c r="B7" s="104">
        <v>49509.15</v>
      </c>
      <c r="C7" s="167">
        <f>B7/B6-1</f>
        <v>8.3331992531974208E-3</v>
      </c>
      <c r="D7" s="104">
        <v>587.15</v>
      </c>
      <c r="E7" s="167">
        <f>D7/D6-1</f>
        <v>-6.7053308969571845E-2</v>
      </c>
      <c r="F7" s="34"/>
      <c r="H7" s="34"/>
      <c r="I7" s="34"/>
      <c r="J7" s="166"/>
      <c r="K7" s="34"/>
      <c r="L7" s="34"/>
      <c r="M7" s="34"/>
      <c r="N7" s="34"/>
      <c r="O7" s="34"/>
      <c r="P7" s="34"/>
      <c r="Q7" s="34"/>
    </row>
    <row r="8" spans="1:17" ht="15" thickBot="1" x14ac:dyDescent="0.4">
      <c r="A8" s="165">
        <v>44287</v>
      </c>
      <c r="B8" s="104">
        <v>48782.36</v>
      </c>
      <c r="C8" s="167">
        <f>B8/B7-1</f>
        <v>-1.4679912703005393E-2</v>
      </c>
      <c r="D8" s="104">
        <v>605</v>
      </c>
      <c r="E8" s="167">
        <f t="shared" ref="E8:E66" si="0">D8/D7-1</f>
        <v>3.0401090011070497E-2</v>
      </c>
      <c r="F8" s="34"/>
      <c r="G8" s="186" t="s">
        <v>341</v>
      </c>
      <c r="H8" s="188">
        <v>3594.55</v>
      </c>
      <c r="I8" s="34"/>
      <c r="J8" s="34"/>
      <c r="K8" s="34"/>
      <c r="L8" s="34"/>
      <c r="M8" s="34"/>
      <c r="N8" s="34"/>
      <c r="O8" s="34"/>
      <c r="P8" s="34"/>
      <c r="Q8" s="34"/>
    </row>
    <row r="9" spans="1:17" ht="15" thickBot="1" x14ac:dyDescent="0.4">
      <c r="A9" s="165">
        <v>44317</v>
      </c>
      <c r="B9" s="104">
        <v>51937.440000000002</v>
      </c>
      <c r="C9" s="167">
        <f t="shared" ref="C9:C65" si="1">B9/B8-1</f>
        <v>6.4676657709877183E-2</v>
      </c>
      <c r="D9" s="104">
        <v>790.9</v>
      </c>
      <c r="E9" s="167">
        <f t="shared" si="0"/>
        <v>0.30727272727272714</v>
      </c>
      <c r="F9" s="34"/>
      <c r="G9" s="186" t="s">
        <v>340</v>
      </c>
      <c r="H9" s="188">
        <v>1863.95</v>
      </c>
      <c r="I9" s="34"/>
      <c r="J9" s="34"/>
      <c r="K9" s="34"/>
      <c r="L9" s="34"/>
      <c r="M9" s="34"/>
      <c r="N9" s="34"/>
      <c r="O9" s="34"/>
      <c r="P9" s="34"/>
      <c r="Q9" s="34"/>
    </row>
    <row r="10" spans="1:17" ht="15" thickBot="1" x14ac:dyDescent="0.4">
      <c r="A10" s="165">
        <v>44348</v>
      </c>
      <c r="B10" s="104">
        <v>52482.71</v>
      </c>
      <c r="C10" s="167">
        <f t="shared" si="1"/>
        <v>1.0498592152404784E-2</v>
      </c>
      <c r="D10" s="104">
        <v>817.5</v>
      </c>
      <c r="E10" s="167">
        <f t="shared" si="0"/>
        <v>3.3632570489315894E-2</v>
      </c>
      <c r="F10" s="34"/>
      <c r="G10" s="186" t="s">
        <v>342</v>
      </c>
      <c r="H10" s="187">
        <f>SLOPE(E7:E66,C7:C66)</f>
        <v>0.97821006892266726</v>
      </c>
      <c r="I10" s="168"/>
      <c r="J10" s="169"/>
      <c r="K10" s="34"/>
      <c r="L10" s="34"/>
      <c r="M10" s="34"/>
      <c r="N10" s="34"/>
      <c r="O10" s="34"/>
      <c r="P10" s="34"/>
      <c r="Q10" s="34"/>
    </row>
    <row r="11" spans="1:17" x14ac:dyDescent="0.35">
      <c r="A11" s="165">
        <v>44378</v>
      </c>
      <c r="B11" s="104">
        <v>52586.84</v>
      </c>
      <c r="C11" s="167">
        <f t="shared" si="1"/>
        <v>1.9840819957657185E-3</v>
      </c>
      <c r="D11" s="104">
        <v>875.85</v>
      </c>
      <c r="E11" s="167">
        <f t="shared" si="0"/>
        <v>7.1376146788990846E-2</v>
      </c>
      <c r="F11" s="34"/>
      <c r="G11" s="34"/>
      <c r="H11" s="34"/>
      <c r="I11" s="34"/>
      <c r="J11" s="34"/>
      <c r="K11" s="34"/>
      <c r="L11" s="34"/>
      <c r="M11" s="34"/>
      <c r="N11" s="34"/>
      <c r="O11" s="34"/>
      <c r="P11" s="34"/>
      <c r="Q11" s="34"/>
    </row>
    <row r="12" spans="1:17" x14ac:dyDescent="0.35">
      <c r="A12" s="165">
        <v>44409</v>
      </c>
      <c r="B12" s="104">
        <v>57552.39</v>
      </c>
      <c r="C12" s="167">
        <f t="shared" si="1"/>
        <v>9.4425715635318763E-2</v>
      </c>
      <c r="D12" s="104">
        <v>1024.3</v>
      </c>
      <c r="E12" s="167">
        <f t="shared" si="0"/>
        <v>0.16949249300679337</v>
      </c>
      <c r="F12" s="34"/>
      <c r="G12" s="34"/>
      <c r="H12" s="34"/>
      <c r="I12" s="34"/>
      <c r="J12" s="34"/>
      <c r="K12" s="34"/>
      <c r="L12" s="34"/>
      <c r="M12" s="34"/>
      <c r="N12" s="34"/>
      <c r="O12" s="34"/>
      <c r="P12" s="34"/>
      <c r="Q12" s="34"/>
    </row>
    <row r="13" spans="1:17" x14ac:dyDescent="0.35">
      <c r="A13" s="165">
        <v>44440</v>
      </c>
      <c r="B13" s="104">
        <v>59126.36</v>
      </c>
      <c r="C13" s="167">
        <f t="shared" si="1"/>
        <v>2.7348473277999386E-2</v>
      </c>
      <c r="D13" s="104">
        <v>1110.25</v>
      </c>
      <c r="E13" s="167">
        <f t="shared" si="0"/>
        <v>8.3910963584887366E-2</v>
      </c>
      <c r="F13" s="34"/>
      <c r="G13" s="34"/>
      <c r="H13" s="34"/>
      <c r="I13" s="34"/>
      <c r="J13" s="34"/>
      <c r="K13" s="34"/>
      <c r="L13" s="34"/>
      <c r="M13" s="34"/>
      <c r="N13" s="34"/>
      <c r="O13" s="34"/>
      <c r="P13" s="34"/>
      <c r="Q13" s="34"/>
    </row>
    <row r="14" spans="1:17" x14ac:dyDescent="0.35">
      <c r="A14" s="165">
        <v>44470</v>
      </c>
      <c r="B14" s="104">
        <v>59306.93</v>
      </c>
      <c r="C14" s="167">
        <f t="shared" si="1"/>
        <v>3.0539678072520893E-3</v>
      </c>
      <c r="D14" s="104">
        <v>1289.3499999999999</v>
      </c>
      <c r="E14" s="167">
        <f t="shared" si="0"/>
        <v>0.16131501913983337</v>
      </c>
      <c r="F14" s="34"/>
      <c r="G14" s="34"/>
      <c r="H14" s="34"/>
      <c r="I14" s="34"/>
      <c r="J14" s="34"/>
      <c r="K14" s="34"/>
      <c r="L14" s="34"/>
      <c r="M14" s="34"/>
      <c r="N14" s="34"/>
      <c r="O14" s="34"/>
      <c r="P14" s="34"/>
      <c r="Q14" s="34"/>
    </row>
    <row r="15" spans="1:17" x14ac:dyDescent="0.35">
      <c r="A15" s="165">
        <v>44501</v>
      </c>
      <c r="B15" s="104">
        <v>57064.87</v>
      </c>
      <c r="C15" s="167">
        <f t="shared" si="1"/>
        <v>-3.7804351026094252E-2</v>
      </c>
      <c r="D15" s="104">
        <v>1378.8</v>
      </c>
      <c r="E15" s="167">
        <f t="shared" si="0"/>
        <v>6.9376042191802156E-2</v>
      </c>
      <c r="F15" s="34"/>
      <c r="G15" s="34"/>
      <c r="Q15" s="34"/>
    </row>
    <row r="16" spans="1:17" x14ac:dyDescent="0.35">
      <c r="A16" s="165">
        <v>44531</v>
      </c>
      <c r="B16" s="104">
        <v>58253.82</v>
      </c>
      <c r="C16" s="167">
        <f t="shared" si="1"/>
        <v>2.0835060169242414E-2</v>
      </c>
      <c r="D16" s="104">
        <v>1375.35</v>
      </c>
      <c r="E16" s="167">
        <f t="shared" si="0"/>
        <v>-2.5021758050478571E-3</v>
      </c>
      <c r="F16" s="34"/>
      <c r="G16" s="34"/>
      <c r="Q16" s="34"/>
    </row>
    <row r="17" spans="1:17" x14ac:dyDescent="0.35">
      <c r="A17" s="165">
        <v>44562</v>
      </c>
      <c r="B17" s="104">
        <v>58014.17</v>
      </c>
      <c r="C17" s="167">
        <f t="shared" si="1"/>
        <v>-4.113893303477778E-3</v>
      </c>
      <c r="D17" s="104">
        <v>1179.9000000000001</v>
      </c>
      <c r="E17" s="167">
        <f t="shared" si="0"/>
        <v>-0.14210928127385747</v>
      </c>
      <c r="F17" s="34"/>
      <c r="G17" s="34"/>
      <c r="H17" s="170"/>
      <c r="I17" s="170"/>
      <c r="Q17" s="34"/>
    </row>
    <row r="18" spans="1:17" x14ac:dyDescent="0.35">
      <c r="A18" s="165">
        <v>44593</v>
      </c>
      <c r="B18" s="104">
        <v>56247.28</v>
      </c>
      <c r="C18" s="167">
        <f t="shared" si="1"/>
        <v>-3.0456179929834404E-2</v>
      </c>
      <c r="D18" s="104">
        <v>1136.55</v>
      </c>
      <c r="E18" s="167">
        <f t="shared" si="0"/>
        <v>-3.6740401728960204E-2</v>
      </c>
      <c r="F18" s="34"/>
      <c r="G18" s="34"/>
      <c r="Q18" s="34"/>
    </row>
    <row r="19" spans="1:17" x14ac:dyDescent="0.35">
      <c r="A19" s="165">
        <v>44621</v>
      </c>
      <c r="B19" s="104">
        <v>58568.51</v>
      </c>
      <c r="C19" s="167">
        <f t="shared" si="1"/>
        <v>4.1268306663006626E-2</v>
      </c>
      <c r="D19" s="104">
        <v>1085.8</v>
      </c>
      <c r="E19" s="167">
        <f t="shared" si="0"/>
        <v>-4.465267696097841E-2</v>
      </c>
      <c r="F19" s="34"/>
      <c r="G19" s="34"/>
      <c r="Q19" s="34"/>
    </row>
    <row r="20" spans="1:17" x14ac:dyDescent="0.35">
      <c r="A20" s="165">
        <v>44652</v>
      </c>
      <c r="B20" s="104">
        <v>57060.87</v>
      </c>
      <c r="C20" s="167">
        <f t="shared" si="1"/>
        <v>-2.5741477800954815E-2</v>
      </c>
      <c r="D20" s="104">
        <v>1130.95</v>
      </c>
      <c r="E20" s="167">
        <f t="shared" si="0"/>
        <v>4.158224350709161E-2</v>
      </c>
      <c r="F20" s="34"/>
      <c r="G20" s="34"/>
      <c r="Q20" s="34"/>
    </row>
    <row r="21" spans="1:17" x14ac:dyDescent="0.35">
      <c r="A21" s="165">
        <v>44682</v>
      </c>
      <c r="B21" s="104">
        <v>55566.41</v>
      </c>
      <c r="C21" s="167">
        <f t="shared" si="1"/>
        <v>-2.6190627657797672E-2</v>
      </c>
      <c r="D21" s="104">
        <v>1010.45</v>
      </c>
      <c r="E21" s="167">
        <f t="shared" si="0"/>
        <v>-0.10654759273177417</v>
      </c>
      <c r="F21" s="34"/>
      <c r="G21" s="34"/>
      <c r="Q21" s="34"/>
    </row>
    <row r="22" spans="1:17" x14ac:dyDescent="0.35">
      <c r="A22" s="165">
        <v>44713</v>
      </c>
      <c r="B22" s="104">
        <v>53018.94</v>
      </c>
      <c r="C22" s="167">
        <f t="shared" si="1"/>
        <v>-4.5845502705681329E-2</v>
      </c>
      <c r="D22" s="104">
        <v>975.55</v>
      </c>
      <c r="E22" s="167">
        <f t="shared" si="0"/>
        <v>-3.453906675243712E-2</v>
      </c>
      <c r="F22" s="34"/>
      <c r="G22" s="34"/>
      <c r="Q22" s="34"/>
    </row>
    <row r="23" spans="1:17" x14ac:dyDescent="0.35">
      <c r="A23" s="165">
        <v>44743</v>
      </c>
      <c r="B23" s="104">
        <v>57570.25</v>
      </c>
      <c r="C23" s="167">
        <f t="shared" si="1"/>
        <v>8.5843096825398479E-2</v>
      </c>
      <c r="D23" s="104">
        <v>1053.25</v>
      </c>
      <c r="E23" s="167">
        <f t="shared" si="0"/>
        <v>7.9647378401927149E-2</v>
      </c>
      <c r="F23" s="34"/>
      <c r="G23" s="34"/>
      <c r="Q23" s="34"/>
    </row>
    <row r="24" spans="1:17" x14ac:dyDescent="0.35">
      <c r="A24" s="165">
        <v>44774</v>
      </c>
      <c r="B24" s="104">
        <v>59537.07</v>
      </c>
      <c r="C24" s="167">
        <f t="shared" si="1"/>
        <v>3.4163825934401926E-2</v>
      </c>
      <c r="D24" s="104">
        <v>1129.55</v>
      </c>
      <c r="E24" s="167">
        <f t="shared" si="0"/>
        <v>7.2442440066460945E-2</v>
      </c>
      <c r="F24" s="34"/>
      <c r="G24" s="34"/>
      <c r="Q24" s="34"/>
    </row>
    <row r="25" spans="1:17" x14ac:dyDescent="0.35">
      <c r="A25" s="165">
        <v>44805</v>
      </c>
      <c r="B25" s="104">
        <v>57426.92</v>
      </c>
      <c r="C25" s="167">
        <f t="shared" si="1"/>
        <v>-3.5442624233943731E-2</v>
      </c>
      <c r="D25" s="104">
        <v>1240.05</v>
      </c>
      <c r="E25" s="167">
        <f t="shared" si="0"/>
        <v>9.7826568102341582E-2</v>
      </c>
      <c r="F25" s="34"/>
      <c r="G25" s="34"/>
      <c r="H25" s="171"/>
      <c r="I25" s="171"/>
      <c r="J25" s="171"/>
      <c r="K25" s="171"/>
      <c r="L25" s="171"/>
      <c r="M25" s="171"/>
      <c r="Q25" s="34"/>
    </row>
    <row r="26" spans="1:17" x14ac:dyDescent="0.35">
      <c r="A26" s="165">
        <v>44835</v>
      </c>
      <c r="B26" s="104">
        <v>60746.59</v>
      </c>
      <c r="C26" s="167">
        <f t="shared" si="1"/>
        <v>5.7806861311733293E-2</v>
      </c>
      <c r="D26" s="104">
        <v>973.45</v>
      </c>
      <c r="E26" s="167">
        <f t="shared" si="0"/>
        <v>-0.2149913309947179</v>
      </c>
      <c r="F26" s="34"/>
      <c r="G26" s="34"/>
      <c r="Q26" s="34"/>
    </row>
    <row r="27" spans="1:17" x14ac:dyDescent="0.35">
      <c r="A27" s="165">
        <v>44866</v>
      </c>
      <c r="B27" s="104">
        <v>63099.65</v>
      </c>
      <c r="C27" s="167">
        <f t="shared" si="1"/>
        <v>3.8735672241026364E-2</v>
      </c>
      <c r="D27" s="104">
        <v>1021.65</v>
      </c>
      <c r="E27" s="167">
        <f t="shared" si="0"/>
        <v>4.9514612974472128E-2</v>
      </c>
      <c r="F27" s="34"/>
      <c r="G27" s="34"/>
      <c r="Q27" s="34"/>
    </row>
    <row r="28" spans="1:17" x14ac:dyDescent="0.35">
      <c r="A28" s="165">
        <v>44896</v>
      </c>
      <c r="B28" s="104">
        <v>60840.74</v>
      </c>
      <c r="C28" s="167">
        <f t="shared" si="1"/>
        <v>-3.5799089218403024E-2</v>
      </c>
      <c r="D28" s="104">
        <v>1094.6500000000001</v>
      </c>
      <c r="E28" s="167">
        <f t="shared" si="0"/>
        <v>7.145304164831412E-2</v>
      </c>
      <c r="F28" s="34"/>
      <c r="G28" s="34"/>
      <c r="Q28" s="34"/>
    </row>
    <row r="29" spans="1:17" x14ac:dyDescent="0.35">
      <c r="A29" s="165">
        <v>44927</v>
      </c>
      <c r="B29" s="104">
        <v>59549.9</v>
      </c>
      <c r="C29" s="167">
        <f t="shared" si="1"/>
        <v>-2.1216704464804281E-2</v>
      </c>
      <c r="D29" s="104">
        <v>1054.95</v>
      </c>
      <c r="E29" s="167">
        <f t="shared" si="0"/>
        <v>-3.6267300050244367E-2</v>
      </c>
      <c r="F29" s="34"/>
      <c r="G29" s="34"/>
      <c r="Q29" s="34"/>
    </row>
    <row r="30" spans="1:17" x14ac:dyDescent="0.35">
      <c r="A30" s="165">
        <v>44958</v>
      </c>
      <c r="B30" s="104">
        <v>58962.12</v>
      </c>
      <c r="C30" s="167">
        <f t="shared" si="1"/>
        <v>-9.8703776160833367E-3</v>
      </c>
      <c r="D30" s="104">
        <v>994.25</v>
      </c>
      <c r="E30" s="167">
        <f t="shared" si="0"/>
        <v>-5.7538271956016906E-2</v>
      </c>
      <c r="F30" s="34"/>
      <c r="G30" s="34"/>
      <c r="H30" s="171"/>
      <c r="I30" s="171"/>
      <c r="J30" s="171"/>
      <c r="K30" s="171"/>
      <c r="L30" s="171"/>
      <c r="M30" s="171"/>
      <c r="N30" s="171"/>
      <c r="O30" s="171"/>
      <c r="P30" s="171"/>
      <c r="Q30" s="34"/>
    </row>
    <row r="31" spans="1:17" x14ac:dyDescent="0.35">
      <c r="A31" s="165">
        <v>44986</v>
      </c>
      <c r="B31" s="104">
        <v>58991.519999999997</v>
      </c>
      <c r="C31" s="167">
        <f t="shared" si="1"/>
        <v>4.9862521903887291E-4</v>
      </c>
      <c r="D31" s="104">
        <v>1003.2</v>
      </c>
      <c r="E31" s="167">
        <f t="shared" si="0"/>
        <v>9.0017601206939801E-3</v>
      </c>
      <c r="F31" s="34"/>
      <c r="G31" s="34"/>
      <c r="Q31" s="34"/>
    </row>
    <row r="32" spans="1:17" x14ac:dyDescent="0.35">
      <c r="A32" s="165">
        <v>45017</v>
      </c>
      <c r="B32" s="104">
        <v>61112.44</v>
      </c>
      <c r="C32" s="167">
        <f t="shared" si="1"/>
        <v>3.5952964087041739E-2</v>
      </c>
      <c r="D32" s="104">
        <v>1035.3499999999999</v>
      </c>
      <c r="E32" s="167">
        <f t="shared" si="0"/>
        <v>3.2047448165869019E-2</v>
      </c>
      <c r="F32" s="34"/>
      <c r="G32" s="34"/>
      <c r="I32" s="20"/>
      <c r="Q32" s="34"/>
    </row>
    <row r="33" spans="1:17" x14ac:dyDescent="0.35">
      <c r="A33" s="165">
        <v>45047</v>
      </c>
      <c r="B33" s="104">
        <v>62622.239999999998</v>
      </c>
      <c r="C33" s="167">
        <f t="shared" si="1"/>
        <v>2.4705280954254061E-2</v>
      </c>
      <c r="D33" s="104">
        <v>1359.7</v>
      </c>
      <c r="E33" s="167">
        <f t="shared" si="0"/>
        <v>0.3132757038682572</v>
      </c>
      <c r="F33" s="34"/>
      <c r="G33" s="34"/>
      <c r="Q33" s="34"/>
    </row>
    <row r="34" spans="1:17" x14ac:dyDescent="0.35">
      <c r="A34" s="165">
        <v>45078</v>
      </c>
      <c r="B34" s="104">
        <v>64718.559999999998</v>
      </c>
      <c r="C34" s="167">
        <f t="shared" si="1"/>
        <v>3.3475646990589913E-2</v>
      </c>
      <c r="D34" s="104">
        <v>1517.75</v>
      </c>
      <c r="E34" s="167">
        <f t="shared" si="0"/>
        <v>0.11623887622269624</v>
      </c>
      <c r="F34" s="34"/>
      <c r="G34" s="34"/>
      <c r="Q34" s="34"/>
    </row>
    <row r="35" spans="1:17" x14ac:dyDescent="0.35">
      <c r="A35" s="165">
        <v>45108</v>
      </c>
      <c r="B35" s="104">
        <v>66527.67</v>
      </c>
      <c r="C35" s="167">
        <f t="shared" si="1"/>
        <v>2.7953495875062684E-2</v>
      </c>
      <c r="D35" s="104">
        <v>1269.55</v>
      </c>
      <c r="E35" s="167">
        <f t="shared" si="0"/>
        <v>-0.16353154340306375</v>
      </c>
      <c r="F35" s="34"/>
      <c r="G35" s="34"/>
      <c r="Q35" s="34"/>
    </row>
    <row r="36" spans="1:17" x14ac:dyDescent="0.35">
      <c r="A36" s="165">
        <v>45139</v>
      </c>
      <c r="B36" s="104">
        <v>64831.41</v>
      </c>
      <c r="C36" s="167">
        <f t="shared" si="1"/>
        <v>-2.5497060095445945E-2</v>
      </c>
      <c r="D36" s="104">
        <v>1234.75</v>
      </c>
      <c r="E36" s="167">
        <f t="shared" si="0"/>
        <v>-2.7411287464062073E-2</v>
      </c>
      <c r="F36" s="34"/>
      <c r="G36" s="34"/>
      <c r="H36" s="34"/>
      <c r="I36" s="34"/>
      <c r="J36" s="34"/>
      <c r="K36" s="34"/>
      <c r="L36" s="34"/>
      <c r="M36" s="34"/>
      <c r="N36" s="34"/>
      <c r="O36" s="34"/>
      <c r="P36" s="34"/>
      <c r="Q36" s="34"/>
    </row>
    <row r="37" spans="1:17" x14ac:dyDescent="0.35">
      <c r="A37" s="165">
        <v>45170</v>
      </c>
      <c r="B37" s="104">
        <v>65828.41</v>
      </c>
      <c r="C37" s="167">
        <f t="shared" si="1"/>
        <v>1.5378348242001794E-2</v>
      </c>
      <c r="D37" s="104">
        <v>1238.05</v>
      </c>
      <c r="E37" s="167">
        <f t="shared" si="0"/>
        <v>2.6726057906458767E-3</v>
      </c>
      <c r="F37" s="34"/>
      <c r="G37" s="34"/>
      <c r="H37" s="34"/>
      <c r="I37" s="34"/>
      <c r="J37" s="34"/>
      <c r="K37" s="34"/>
      <c r="L37" s="34"/>
      <c r="M37" s="34"/>
      <c r="N37" s="34"/>
      <c r="O37" s="34"/>
      <c r="P37" s="34"/>
      <c r="Q37" s="34"/>
    </row>
    <row r="38" spans="1:17" x14ac:dyDescent="0.35">
      <c r="A38" s="165">
        <v>45200</v>
      </c>
      <c r="B38" s="104">
        <v>63874.93</v>
      </c>
      <c r="C38" s="167">
        <f t="shared" si="1"/>
        <v>-2.9675333188208586E-2</v>
      </c>
      <c r="D38" s="104">
        <v>1427</v>
      </c>
      <c r="E38" s="167">
        <f t="shared" si="0"/>
        <v>0.15261903800331167</v>
      </c>
      <c r="F38" s="34"/>
      <c r="G38" s="34"/>
      <c r="H38" s="34"/>
      <c r="I38" s="34"/>
      <c r="J38" s="34"/>
      <c r="K38" s="34"/>
      <c r="L38" s="34"/>
      <c r="M38" s="34"/>
      <c r="N38" s="34"/>
      <c r="O38" s="34"/>
      <c r="P38" s="34"/>
      <c r="Q38" s="34"/>
    </row>
    <row r="39" spans="1:17" x14ac:dyDescent="0.35">
      <c r="A39" s="165">
        <v>45231</v>
      </c>
      <c r="B39" s="104">
        <v>66988.44</v>
      </c>
      <c r="C39" s="167">
        <f t="shared" si="1"/>
        <v>4.8743849895412916E-2</v>
      </c>
      <c r="D39" s="104">
        <v>1374.3</v>
      </c>
      <c r="E39" s="167">
        <f t="shared" si="0"/>
        <v>-3.6930623686054709E-2</v>
      </c>
      <c r="F39" s="34"/>
      <c r="G39" s="34"/>
      <c r="H39" s="34"/>
      <c r="I39" s="34"/>
      <c r="J39" s="34"/>
      <c r="K39" s="34"/>
      <c r="L39" s="34"/>
      <c r="M39" s="34"/>
      <c r="N39" s="34"/>
      <c r="O39" s="34"/>
      <c r="P39" s="34"/>
      <c r="Q39" s="34"/>
    </row>
    <row r="40" spans="1:17" x14ac:dyDescent="0.35">
      <c r="A40" s="165">
        <v>45261</v>
      </c>
      <c r="B40" s="104">
        <v>72240.259999999995</v>
      </c>
      <c r="C40" s="167">
        <f t="shared" si="1"/>
        <v>7.8398899869887906E-2</v>
      </c>
      <c r="D40" s="104">
        <v>1490.1</v>
      </c>
      <c r="E40" s="167">
        <f t="shared" si="0"/>
        <v>8.4261078367168674E-2</v>
      </c>
      <c r="F40" s="34"/>
      <c r="G40" s="34"/>
      <c r="H40" s="34"/>
      <c r="I40" s="34"/>
      <c r="J40" s="34"/>
      <c r="K40" s="34"/>
      <c r="L40" s="34"/>
      <c r="M40" s="34"/>
      <c r="N40" s="34"/>
      <c r="O40" s="34"/>
      <c r="P40" s="34"/>
      <c r="Q40" s="34"/>
    </row>
    <row r="41" spans="1:17" x14ac:dyDescent="0.35">
      <c r="A41" s="165">
        <v>45292</v>
      </c>
      <c r="B41" s="104">
        <v>71752.11</v>
      </c>
      <c r="C41" s="167">
        <f t="shared" si="1"/>
        <v>-6.7573123352545617E-3</v>
      </c>
      <c r="D41" s="104">
        <v>1354.05</v>
      </c>
      <c r="E41" s="167">
        <f t="shared" si="0"/>
        <v>-9.1302597141131425E-2</v>
      </c>
      <c r="F41" s="34"/>
      <c r="G41" s="34"/>
      <c r="H41" s="34"/>
      <c r="I41" s="34"/>
      <c r="J41" s="34"/>
      <c r="K41" s="34"/>
      <c r="L41" s="34"/>
      <c r="M41" s="34"/>
      <c r="N41" s="34"/>
      <c r="O41" s="34"/>
      <c r="P41" s="34"/>
      <c r="Q41" s="34"/>
    </row>
    <row r="42" spans="1:17" x14ac:dyDescent="0.35">
      <c r="A42" s="165">
        <v>45323</v>
      </c>
      <c r="B42" s="104">
        <v>72500.3</v>
      </c>
      <c r="C42" s="167">
        <f t="shared" si="1"/>
        <v>1.0427428545306983E-2</v>
      </c>
      <c r="D42" s="104">
        <v>1349.4</v>
      </c>
      <c r="E42" s="167">
        <f t="shared" si="0"/>
        <v>-3.434142018389208E-3</v>
      </c>
      <c r="F42" s="34"/>
      <c r="G42" s="34"/>
      <c r="H42" s="34"/>
      <c r="I42" s="34"/>
      <c r="J42" s="34"/>
      <c r="K42" s="34"/>
      <c r="L42" s="34"/>
      <c r="M42" s="34"/>
      <c r="N42" s="34"/>
      <c r="O42" s="34"/>
      <c r="P42" s="34"/>
      <c r="Q42" s="34"/>
    </row>
    <row r="43" spans="1:17" x14ac:dyDescent="0.35">
      <c r="A43" s="165">
        <v>45352</v>
      </c>
      <c r="B43" s="104">
        <v>73651.350000000006</v>
      </c>
      <c r="C43" s="167">
        <f t="shared" si="1"/>
        <v>1.5876486028333803E-2</v>
      </c>
      <c r="D43" s="104">
        <v>1288.5999999999999</v>
      </c>
      <c r="E43" s="167">
        <f t="shared" si="0"/>
        <v>-4.5057062398103032E-2</v>
      </c>
      <c r="F43" s="34"/>
      <c r="G43" s="34"/>
      <c r="H43" s="34"/>
      <c r="I43" s="34"/>
      <c r="J43" s="34"/>
      <c r="K43" s="34"/>
      <c r="L43" s="34"/>
      <c r="M43" s="34"/>
      <c r="N43" s="34"/>
      <c r="O43" s="34"/>
      <c r="P43" s="34"/>
      <c r="Q43" s="34"/>
    </row>
    <row r="44" spans="1:17" x14ac:dyDescent="0.35">
      <c r="A44" s="165">
        <v>45383</v>
      </c>
      <c r="B44" s="104">
        <v>74482.78</v>
      </c>
      <c r="C44" s="167">
        <f t="shared" si="1"/>
        <v>1.1288727226316908E-2</v>
      </c>
      <c r="D44" s="104">
        <v>1313.85</v>
      </c>
      <c r="E44" s="167">
        <f t="shared" si="0"/>
        <v>1.9594909203787036E-2</v>
      </c>
      <c r="F44" s="34"/>
      <c r="G44" s="34"/>
      <c r="H44" s="34"/>
      <c r="I44" s="34"/>
      <c r="J44" s="34"/>
      <c r="K44" s="34"/>
      <c r="L44" s="34"/>
      <c r="M44" s="34"/>
      <c r="N44" s="34"/>
      <c r="O44" s="34"/>
      <c r="P44" s="34"/>
      <c r="Q44" s="34"/>
    </row>
    <row r="45" spans="1:17" x14ac:dyDescent="0.35">
      <c r="A45" s="165">
        <v>45413</v>
      </c>
      <c r="B45" s="104">
        <v>73961.31</v>
      </c>
      <c r="C45" s="167">
        <f t="shared" si="1"/>
        <v>-7.0012155829843881E-3</v>
      </c>
      <c r="D45" s="104">
        <v>1238.8</v>
      </c>
      <c r="E45" s="167">
        <f t="shared" si="0"/>
        <v>-5.7122198120028944E-2</v>
      </c>
      <c r="F45" s="34"/>
      <c r="G45" s="34"/>
      <c r="H45" s="34"/>
      <c r="I45" s="34"/>
      <c r="J45" s="34"/>
      <c r="K45" s="34"/>
      <c r="L45" s="34"/>
      <c r="M45" s="34"/>
      <c r="N45" s="34"/>
      <c r="O45" s="34"/>
      <c r="P45" s="34"/>
      <c r="Q45" s="34"/>
    </row>
    <row r="46" spans="1:17" x14ac:dyDescent="0.35">
      <c r="A46" s="165">
        <v>45444</v>
      </c>
      <c r="B46" s="104">
        <v>79032.73</v>
      </c>
      <c r="C46" s="167">
        <f t="shared" si="1"/>
        <v>6.8568552936663751E-2</v>
      </c>
      <c r="D46" s="104">
        <v>1724.6</v>
      </c>
      <c r="E46" s="167">
        <f t="shared" si="0"/>
        <v>0.39215369712625114</v>
      </c>
      <c r="F46" s="34"/>
      <c r="G46" s="34"/>
      <c r="H46" s="34"/>
      <c r="I46" s="34"/>
      <c r="J46" s="34"/>
      <c r="K46" s="34"/>
      <c r="L46" s="34"/>
      <c r="M46" s="34"/>
      <c r="N46" s="34"/>
      <c r="O46" s="34"/>
      <c r="P46" s="34"/>
      <c r="Q46" s="34"/>
    </row>
    <row r="47" spans="1:17" x14ac:dyDescent="0.35">
      <c r="A47" s="165">
        <v>45474</v>
      </c>
      <c r="B47" s="104">
        <v>81741.34</v>
      </c>
      <c r="C47" s="167">
        <f t="shared" si="1"/>
        <v>3.427200351044446E-2</v>
      </c>
      <c r="D47" s="104">
        <v>1797.65</v>
      </c>
      <c r="E47" s="167">
        <f t="shared" si="0"/>
        <v>4.2357648150295857E-2</v>
      </c>
      <c r="F47" s="34"/>
      <c r="G47" s="34"/>
      <c r="H47" s="34"/>
      <c r="I47" s="34"/>
      <c r="J47" s="34"/>
      <c r="K47" s="34"/>
      <c r="L47" s="34"/>
      <c r="M47" s="34"/>
      <c r="N47" s="34"/>
      <c r="O47" s="34"/>
      <c r="P47" s="34"/>
      <c r="Q47" s="34"/>
    </row>
    <row r="48" spans="1:17" x14ac:dyDescent="0.35">
      <c r="A48" s="165">
        <v>45505</v>
      </c>
      <c r="B48" s="104">
        <v>82365.77</v>
      </c>
      <c r="C48" s="167">
        <f t="shared" si="1"/>
        <v>7.6390966920778514E-3</v>
      </c>
      <c r="D48" s="104">
        <v>2034.25</v>
      </c>
      <c r="E48" s="167">
        <f t="shared" si="0"/>
        <v>0.13161627680582977</v>
      </c>
      <c r="F48" s="34"/>
      <c r="G48" s="34"/>
      <c r="H48" s="34"/>
      <c r="I48" s="34"/>
      <c r="J48" s="34"/>
      <c r="K48" s="34"/>
      <c r="L48" s="34"/>
      <c r="M48" s="34"/>
      <c r="N48" s="34"/>
      <c r="O48" s="34"/>
      <c r="P48" s="34"/>
      <c r="Q48" s="34"/>
    </row>
    <row r="49" spans="1:17" x14ac:dyDescent="0.35">
      <c r="A49" s="165">
        <v>45536</v>
      </c>
      <c r="B49" s="104">
        <v>84299.78</v>
      </c>
      <c r="C49" s="167">
        <f t="shared" si="1"/>
        <v>2.3480749345268004E-2</v>
      </c>
      <c r="D49" s="104">
        <v>2457.35</v>
      </c>
      <c r="E49" s="167">
        <f t="shared" si="0"/>
        <v>0.20798820204006385</v>
      </c>
      <c r="F49" s="34"/>
      <c r="G49" s="34"/>
      <c r="H49" s="34"/>
      <c r="I49" s="34"/>
      <c r="J49" s="34"/>
      <c r="K49" s="34"/>
      <c r="L49" s="34"/>
      <c r="M49" s="34"/>
      <c r="N49" s="34"/>
      <c r="O49" s="34"/>
      <c r="P49" s="34"/>
      <c r="Q49" s="34"/>
    </row>
    <row r="50" spans="1:17" x14ac:dyDescent="0.35">
      <c r="A50" s="165">
        <v>45566</v>
      </c>
      <c r="B50" s="104">
        <v>79389.06</v>
      </c>
      <c r="C50" s="167">
        <f t="shared" si="1"/>
        <v>-5.8253058311658723E-2</v>
      </c>
      <c r="D50" s="104">
        <v>2288.35</v>
      </c>
      <c r="E50" s="167">
        <f t="shared" si="0"/>
        <v>-6.8773272020672627E-2</v>
      </c>
      <c r="F50" s="34"/>
      <c r="G50" s="34"/>
      <c r="H50" s="34"/>
      <c r="I50" s="34"/>
      <c r="J50" s="34"/>
      <c r="K50" s="34"/>
      <c r="L50" s="34"/>
      <c r="M50" s="34"/>
      <c r="N50" s="34"/>
      <c r="O50" s="34"/>
      <c r="P50" s="34"/>
      <c r="Q50" s="34"/>
    </row>
    <row r="51" spans="1:17" x14ac:dyDescent="0.35">
      <c r="A51" s="165">
        <v>45597</v>
      </c>
      <c r="B51" s="104">
        <v>79802.789999999994</v>
      </c>
      <c r="C51" s="167">
        <f t="shared" si="1"/>
        <v>5.2114233371700625E-3</v>
      </c>
      <c r="D51" s="104">
        <v>1979.9</v>
      </c>
      <c r="E51" s="167">
        <f t="shared" si="0"/>
        <v>-0.13479144361657958</v>
      </c>
      <c r="F51" s="34"/>
      <c r="G51" s="34"/>
      <c r="H51" s="34"/>
      <c r="I51" s="34"/>
      <c r="J51" s="34"/>
      <c r="K51" s="34"/>
      <c r="L51" s="34"/>
      <c r="M51" s="34"/>
      <c r="N51" s="34"/>
      <c r="O51" s="34"/>
      <c r="P51" s="34"/>
      <c r="Q51" s="34"/>
    </row>
    <row r="52" spans="1:17" x14ac:dyDescent="0.35">
      <c r="A52" s="165">
        <v>45627</v>
      </c>
      <c r="B52" s="104">
        <v>78139.009999999995</v>
      </c>
      <c r="C52" s="167">
        <f t="shared" si="1"/>
        <v>-2.0848644514809611E-2</v>
      </c>
      <c r="D52" s="104">
        <v>1966.35</v>
      </c>
      <c r="E52" s="167">
        <f t="shared" si="0"/>
        <v>-6.8437799888884099E-3</v>
      </c>
      <c r="F52" s="34"/>
      <c r="G52" s="34"/>
      <c r="H52" s="34"/>
      <c r="I52" s="34"/>
      <c r="J52" s="34"/>
      <c r="K52" s="34"/>
      <c r="L52" s="34"/>
      <c r="M52" s="34"/>
      <c r="N52" s="34"/>
      <c r="O52" s="34"/>
      <c r="P52" s="34"/>
      <c r="Q52" s="34"/>
    </row>
    <row r="53" spans="1:17" x14ac:dyDescent="0.35">
      <c r="A53" s="165">
        <v>45658</v>
      </c>
      <c r="B53" s="104">
        <v>77500.570000000007</v>
      </c>
      <c r="C53" s="167">
        <f t="shared" si="1"/>
        <v>-8.1705667885987321E-3</v>
      </c>
      <c r="D53" s="104">
        <v>1825.45</v>
      </c>
      <c r="E53" s="167">
        <f t="shared" si="0"/>
        <v>-7.1655605563607616E-2</v>
      </c>
      <c r="F53" s="34"/>
      <c r="G53" s="34"/>
      <c r="H53" s="34"/>
      <c r="I53" s="34"/>
      <c r="J53" s="34"/>
      <c r="K53" s="34"/>
      <c r="L53" s="34"/>
      <c r="M53" s="34"/>
      <c r="N53" s="34"/>
      <c r="O53" s="34"/>
      <c r="P53" s="34"/>
      <c r="Q53" s="34"/>
    </row>
    <row r="54" spans="1:17" x14ac:dyDescent="0.35">
      <c r="A54" s="165">
        <v>45689</v>
      </c>
      <c r="B54" s="104">
        <v>73198.100000000006</v>
      </c>
      <c r="C54" s="167">
        <f t="shared" si="1"/>
        <v>-5.5515333629159169E-2</v>
      </c>
      <c r="D54" s="104">
        <v>1893.75</v>
      </c>
      <c r="E54" s="167">
        <f t="shared" si="0"/>
        <v>3.7415431811334221E-2</v>
      </c>
      <c r="F54" s="34"/>
      <c r="G54" s="34"/>
      <c r="H54" s="34"/>
      <c r="I54" s="34"/>
      <c r="J54" s="34"/>
      <c r="K54" s="34"/>
      <c r="L54" s="34"/>
      <c r="M54" s="34"/>
      <c r="N54" s="34"/>
      <c r="O54" s="34"/>
      <c r="P54" s="34"/>
      <c r="Q54" s="34"/>
    </row>
    <row r="55" spans="1:17" x14ac:dyDescent="0.35">
      <c r="A55" s="165">
        <v>45717</v>
      </c>
      <c r="B55" s="104">
        <v>77414.92</v>
      </c>
      <c r="C55" s="167">
        <f t="shared" si="1"/>
        <v>5.760832589916931E-2</v>
      </c>
      <c r="D55" s="104">
        <v>2007.4</v>
      </c>
      <c r="E55" s="167">
        <f t="shared" si="0"/>
        <v>6.0013201320131992E-2</v>
      </c>
      <c r="F55" s="34"/>
      <c r="G55" s="34"/>
      <c r="H55" s="34"/>
      <c r="I55" s="34"/>
      <c r="J55" s="34"/>
      <c r="K55" s="34"/>
      <c r="L55" s="34"/>
      <c r="M55" s="34"/>
      <c r="N55" s="34"/>
      <c r="O55" s="34"/>
      <c r="P55" s="34"/>
      <c r="Q55" s="34"/>
    </row>
    <row r="56" spans="1:17" x14ac:dyDescent="0.35">
      <c r="A56" s="165">
        <v>45748</v>
      </c>
      <c r="B56" s="104">
        <v>80242.240000000005</v>
      </c>
      <c r="C56" s="167">
        <f t="shared" si="1"/>
        <v>3.652164208139741E-2</v>
      </c>
      <c r="D56" s="104">
        <v>2102.1</v>
      </c>
      <c r="E56" s="167">
        <f t="shared" si="0"/>
        <v>4.7175450831921761E-2</v>
      </c>
      <c r="F56" s="34"/>
      <c r="G56" s="34"/>
      <c r="H56" s="34"/>
      <c r="I56" s="34"/>
      <c r="J56" s="34"/>
      <c r="K56" s="34"/>
      <c r="L56" s="34"/>
      <c r="M56" s="34"/>
      <c r="N56" s="34"/>
      <c r="O56" s="34"/>
      <c r="P56" s="34"/>
      <c r="Q56" s="34"/>
    </row>
    <row r="57" spans="1:17" x14ac:dyDescent="0.35">
      <c r="A57" s="165">
        <v>45778</v>
      </c>
      <c r="B57" s="104">
        <v>81451.009999999995</v>
      </c>
      <c r="C57" s="167">
        <f t="shared" si="1"/>
        <v>1.5064011174164449E-2</v>
      </c>
      <c r="D57" s="104">
        <v>1931.05</v>
      </c>
      <c r="E57" s="167">
        <f t="shared" si="0"/>
        <v>-8.137100994243851E-2</v>
      </c>
      <c r="F57" s="34"/>
      <c r="G57" s="34"/>
      <c r="H57" s="34"/>
      <c r="I57" s="34"/>
      <c r="J57" s="34"/>
      <c r="K57" s="34"/>
      <c r="L57" s="34"/>
      <c r="M57" s="34"/>
      <c r="N57" s="34"/>
      <c r="O57" s="34"/>
      <c r="P57" s="34"/>
      <c r="Q57" s="34"/>
    </row>
    <row r="58" spans="1:17" x14ac:dyDescent="0.35">
      <c r="A58" s="165">
        <v>45809</v>
      </c>
      <c r="B58" s="104">
        <v>83606.460000000006</v>
      </c>
      <c r="C58" s="167">
        <f t="shared" si="1"/>
        <v>2.6463146374735125E-2</v>
      </c>
      <c r="D58" s="104">
        <v>1863.95</v>
      </c>
      <c r="E58" s="167">
        <f t="shared" si="0"/>
        <v>-3.4747935061236079E-2</v>
      </c>
      <c r="F58" s="34"/>
      <c r="G58" s="34"/>
      <c r="H58" s="34"/>
      <c r="I58" s="34"/>
      <c r="J58" s="34"/>
      <c r="K58" s="34"/>
      <c r="L58" s="34"/>
      <c r="M58" s="34"/>
      <c r="N58" s="34"/>
      <c r="O58" s="34"/>
      <c r="P58" s="34"/>
      <c r="Q58" s="34"/>
    </row>
    <row r="59" spans="1:17" x14ac:dyDescent="0.35">
      <c r="A59" s="165">
        <v>45839</v>
      </c>
      <c r="B59" s="104">
        <v>81185.58</v>
      </c>
      <c r="C59" s="167">
        <f t="shared" si="1"/>
        <v>-2.89556572542361E-2</v>
      </c>
      <c r="D59" s="104">
        <v>1894.15</v>
      </c>
      <c r="E59" s="167">
        <f t="shared" si="0"/>
        <v>1.6202151345261484E-2</v>
      </c>
      <c r="F59" s="34"/>
      <c r="G59" s="34"/>
      <c r="H59" s="34"/>
      <c r="I59" s="34"/>
      <c r="J59" s="34"/>
      <c r="K59" s="34"/>
      <c r="L59" s="34"/>
      <c r="M59" s="34"/>
      <c r="N59" s="34"/>
      <c r="O59" s="34"/>
      <c r="P59" s="34"/>
      <c r="Q59" s="34"/>
    </row>
    <row r="60" spans="1:17" x14ac:dyDescent="0.35">
      <c r="A60" s="165">
        <v>45870</v>
      </c>
      <c r="B60" s="104">
        <v>79809.649999999994</v>
      </c>
      <c r="C60" s="167">
        <f t="shared" si="1"/>
        <v>-1.6947960462929568E-2</v>
      </c>
      <c r="D60" s="104">
        <v>2260.4499999999998</v>
      </c>
      <c r="E60" s="167">
        <f t="shared" si="0"/>
        <v>0.19338489559960914</v>
      </c>
      <c r="F60" s="34"/>
      <c r="G60" s="34"/>
      <c r="H60" s="34"/>
      <c r="I60" s="34"/>
      <c r="J60" s="34"/>
      <c r="K60" s="34"/>
      <c r="L60" s="34"/>
      <c r="M60" s="34"/>
      <c r="N60" s="34"/>
      <c r="O60" s="34"/>
      <c r="P60" s="34"/>
      <c r="Q60" s="34"/>
    </row>
    <row r="61" spans="1:17" x14ac:dyDescent="0.35">
      <c r="A61" s="165">
        <v>45901</v>
      </c>
      <c r="B61" s="104">
        <v>80267.62</v>
      </c>
      <c r="C61" s="167">
        <f t="shared" si="1"/>
        <v>5.7382785164450389E-3</v>
      </c>
      <c r="D61" s="104">
        <v>2011</v>
      </c>
      <c r="E61" s="167">
        <f t="shared" si="0"/>
        <v>-0.11035413302660968</v>
      </c>
      <c r="F61" s="34"/>
      <c r="G61" s="34"/>
      <c r="H61" s="34"/>
      <c r="I61" s="34"/>
      <c r="J61" s="34"/>
      <c r="K61" s="34"/>
      <c r="L61" s="34"/>
      <c r="M61" s="34"/>
      <c r="N61" s="34"/>
      <c r="O61" s="34"/>
      <c r="P61" s="34"/>
      <c r="Q61" s="34"/>
    </row>
    <row r="62" spans="1:17" x14ac:dyDescent="0.35">
      <c r="A62" s="165">
        <v>45931</v>
      </c>
      <c r="B62" s="104">
        <v>83938.71</v>
      </c>
      <c r="C62" s="167">
        <f t="shared" si="1"/>
        <v>4.5735627890798547E-2</v>
      </c>
      <c r="D62" s="104">
        <v>2169.4499999999998</v>
      </c>
      <c r="E62" s="167">
        <f t="shared" si="0"/>
        <v>7.8791645947289712E-2</v>
      </c>
      <c r="F62" s="34"/>
      <c r="G62" s="34"/>
      <c r="H62" s="34"/>
      <c r="I62" s="34"/>
      <c r="J62" s="34"/>
      <c r="K62" s="34"/>
      <c r="L62" s="34"/>
      <c r="M62" s="34"/>
      <c r="N62" s="34"/>
      <c r="O62" s="34"/>
      <c r="P62" s="34"/>
      <c r="Q62" s="34"/>
    </row>
    <row r="63" spans="1:17" x14ac:dyDescent="0.35">
      <c r="A63" s="165">
        <v>45962</v>
      </c>
      <c r="B63" s="104">
        <v>85706.67</v>
      </c>
      <c r="C63" s="167">
        <f t="shared" si="1"/>
        <v>2.1062510967823966E-2</v>
      </c>
      <c r="D63" s="104">
        <v>3250.15</v>
      </c>
      <c r="E63" s="167">
        <f t="shared" si="0"/>
        <v>0.49814469105072723</v>
      </c>
      <c r="F63" s="34"/>
      <c r="G63" s="34"/>
      <c r="H63" s="34"/>
      <c r="I63" s="34"/>
      <c r="J63" s="34"/>
      <c r="K63" s="34"/>
      <c r="L63" s="34"/>
      <c r="M63" s="34"/>
      <c r="N63" s="34"/>
      <c r="O63" s="34"/>
      <c r="P63" s="34"/>
      <c r="Q63" s="34"/>
    </row>
    <row r="64" spans="1:17" x14ac:dyDescent="0.35">
      <c r="A64" s="165">
        <v>45992</v>
      </c>
      <c r="B64" s="104">
        <v>85220.6</v>
      </c>
      <c r="C64" s="167">
        <f t="shared" si="1"/>
        <v>-5.6713205634986164E-3</v>
      </c>
      <c r="D64" s="104">
        <v>3217.2</v>
      </c>
      <c r="E64" s="167">
        <f t="shared" si="0"/>
        <v>-1.0137993631063269E-2</v>
      </c>
      <c r="F64" s="34"/>
      <c r="G64" s="34"/>
      <c r="H64" s="34"/>
      <c r="I64" s="34"/>
      <c r="J64" s="34"/>
      <c r="K64" s="34"/>
      <c r="L64" s="34"/>
      <c r="M64" s="34"/>
      <c r="N64" s="34"/>
      <c r="O64" s="34"/>
      <c r="P64" s="34"/>
      <c r="Q64" s="34"/>
    </row>
    <row r="65" spans="1:17" x14ac:dyDescent="0.35">
      <c r="A65" s="165">
        <v>46023</v>
      </c>
      <c r="B65" s="104">
        <v>82269.78</v>
      </c>
      <c r="C65" s="167">
        <f t="shared" si="1"/>
        <v>-3.4625665625447444E-2</v>
      </c>
      <c r="D65" s="104">
        <v>3331.15</v>
      </c>
      <c r="E65" s="167">
        <f t="shared" si="0"/>
        <v>3.5418997886360826E-2</v>
      </c>
      <c r="F65" s="34"/>
      <c r="G65" s="34"/>
      <c r="H65" s="34"/>
      <c r="I65" s="34"/>
      <c r="J65" s="34"/>
      <c r="K65" s="34"/>
      <c r="L65" s="34"/>
      <c r="M65" s="34"/>
      <c r="N65" s="34"/>
      <c r="O65" s="34"/>
      <c r="P65" s="34"/>
      <c r="Q65" s="34"/>
    </row>
    <row r="66" spans="1:17" x14ac:dyDescent="0.35">
      <c r="A66" s="165">
        <v>46054</v>
      </c>
      <c r="B66" s="104">
        <v>83674.92</v>
      </c>
      <c r="C66" s="167">
        <f>B66/B65-1</f>
        <v>1.7079661571964833E-2</v>
      </c>
      <c r="D66" s="104">
        <v>3594.55</v>
      </c>
      <c r="E66" s="167">
        <f t="shared" si="0"/>
        <v>7.9071792023775567E-2</v>
      </c>
      <c r="F66" s="34"/>
      <c r="G66" s="34"/>
      <c r="H66" s="34"/>
      <c r="I66" s="34"/>
      <c r="J66" s="34"/>
      <c r="K66" s="34"/>
      <c r="L66" s="34"/>
      <c r="M66" s="34"/>
      <c r="N66" s="34"/>
      <c r="O66" s="34"/>
      <c r="P66" s="34"/>
      <c r="Q66" s="34"/>
    </row>
  </sheetData>
  <pageMargins left="0.7" right="0.7" top="0.75" bottom="0.75" header="0.3" footer="0.3"/>
</worksheet>
</file>

<file path=xl/worksheets/sheet1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A12EF591-8791-4C46-B720-38EC3C644216}">
  <dimension ref="A1:N12"/>
  <sheetViews>
    <sheetView showGridLines="0" zoomScale="70" zoomScaleNormal="70" workbookViewId="0">
      <selection activeCell="L26" sqref="L26"/>
    </sheetView>
  </sheetViews>
  <sheetFormatPr defaultColWidth="11.6328125" defaultRowHeight="15.5" x14ac:dyDescent="0.35"/>
  <cols>
    <col min="1" max="3" width="1.26953125" style="1" customWidth="1"/>
    <col min="4" max="4" width="40.6328125" style="1" customWidth="1"/>
    <col min="5" max="6" width="12.6328125" style="1" customWidth="1"/>
    <col min="7" max="7" width="2.6328125" style="1" customWidth="1"/>
    <col min="8" max="16384" width="11.6328125" style="1"/>
  </cols>
  <sheetData>
    <row r="1" spans="1:14" ht="28" x14ac:dyDescent="0.6">
      <c r="A1" s="160" t="str">
        <f>Historical!A1</f>
        <v>THANGAMAYIL JEWELLERY LIMITED</v>
      </c>
      <c r="B1" s="126"/>
      <c r="C1" s="126"/>
      <c r="D1" s="126"/>
      <c r="E1" s="126"/>
      <c r="F1" s="126"/>
      <c r="G1" s="123"/>
      <c r="H1" s="127"/>
      <c r="I1" s="127"/>
      <c r="J1" s="127"/>
      <c r="K1" s="127"/>
      <c r="L1" s="85"/>
      <c r="M1" s="85"/>
      <c r="N1" s="85"/>
    </row>
    <row r="2" spans="1:14" x14ac:dyDescent="0.35">
      <c r="A2" s="124" t="s">
        <v>346</v>
      </c>
      <c r="B2" s="126"/>
      <c r="C2" s="126"/>
      <c r="D2" s="126"/>
      <c r="E2" s="126"/>
      <c r="F2" s="126"/>
      <c r="G2" s="124"/>
      <c r="H2" s="127"/>
      <c r="I2" s="127"/>
      <c r="J2" s="127"/>
      <c r="K2" s="127"/>
      <c r="L2" s="85"/>
      <c r="M2" s="85"/>
      <c r="N2" s="85"/>
    </row>
    <row r="4" spans="1:14" s="34" customFormat="1" ht="13" customHeight="1" x14ac:dyDescent="0.35">
      <c r="A4" s="180" t="s">
        <v>347</v>
      </c>
      <c r="B4" s="181"/>
      <c r="C4" s="181"/>
      <c r="D4" s="181"/>
      <c r="E4" s="181"/>
      <c r="F4" s="181"/>
      <c r="G4" s="181"/>
      <c r="H4" s="181"/>
      <c r="I4" s="181"/>
      <c r="J4" s="181"/>
      <c r="K4" s="182"/>
      <c r="L4" s="183"/>
      <c r="M4" s="183"/>
      <c r="N4" s="183"/>
    </row>
    <row r="5" spans="1:14" x14ac:dyDescent="0.35">
      <c r="H5" s="184"/>
      <c r="I5" s="184"/>
      <c r="J5" s="184" t="s">
        <v>350</v>
      </c>
      <c r="K5" s="184" t="s">
        <v>351</v>
      </c>
    </row>
    <row r="6" spans="1:14" x14ac:dyDescent="0.35">
      <c r="H6" s="184" t="s">
        <v>267</v>
      </c>
      <c r="I6" s="184" t="s">
        <v>352</v>
      </c>
      <c r="J6" s="184" t="s">
        <v>353</v>
      </c>
      <c r="K6" s="184" t="s">
        <v>354</v>
      </c>
    </row>
    <row r="7" spans="1:14" x14ac:dyDescent="0.35">
      <c r="D7" s="1" t="s">
        <v>348</v>
      </c>
      <c r="H7" s="185">
        <v>1569.431024630627</v>
      </c>
      <c r="I7" s="185">
        <v>975</v>
      </c>
      <c r="J7" s="185">
        <v>3594.55</v>
      </c>
      <c r="K7" s="185">
        <v>1600</v>
      </c>
    </row>
    <row r="8" spans="1:14" x14ac:dyDescent="0.35">
      <c r="D8" s="1" t="s">
        <v>348</v>
      </c>
      <c r="H8" s="185">
        <v>1569.431024630627</v>
      </c>
      <c r="I8" s="185">
        <v>975</v>
      </c>
      <c r="J8" s="185">
        <v>3594.55</v>
      </c>
      <c r="K8" s="185">
        <v>1600</v>
      </c>
    </row>
    <row r="9" spans="1:14" x14ac:dyDescent="0.35">
      <c r="D9" s="1" t="s">
        <v>349</v>
      </c>
      <c r="H9" s="185">
        <v>1310.4661896318416</v>
      </c>
      <c r="I9" s="185">
        <v>773</v>
      </c>
      <c r="J9" s="185">
        <v>1863.95</v>
      </c>
      <c r="K9" s="185">
        <v>1200</v>
      </c>
    </row>
    <row r="10" spans="1:14" x14ac:dyDescent="0.35">
      <c r="D10" s="1" t="s">
        <v>349</v>
      </c>
      <c r="H10" s="185">
        <v>1310.4661896318416</v>
      </c>
      <c r="I10" s="185">
        <v>773</v>
      </c>
      <c r="J10" s="185">
        <v>1863.95</v>
      </c>
      <c r="K10" s="185">
        <v>1200</v>
      </c>
    </row>
    <row r="12" spans="1:14" s="34" customFormat="1" ht="13" customHeight="1" x14ac:dyDescent="0.35">
      <c r="A12" s="180" t="s">
        <v>355</v>
      </c>
      <c r="B12" s="181"/>
      <c r="C12" s="181"/>
      <c r="D12" s="181"/>
      <c r="E12" s="181"/>
      <c r="F12" s="181"/>
      <c r="G12" s="181"/>
      <c r="H12" s="181"/>
      <c r="I12" s="181"/>
      <c r="J12" s="181"/>
      <c r="K12" s="182"/>
      <c r="L12" s="183"/>
      <c r="M12" s="183"/>
      <c r="N12" s="183"/>
    </row>
  </sheetData>
  <pageMargins left="0.7" right="0.7" top="0.75" bottom="0.75" header="0.3" footer="0.3"/>
  <drawing r:id="rId1"/>
</worksheet>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2" baseType="variant">
      <vt:variant>
        <vt:lpstr>Worksheets</vt:lpstr>
      </vt:variant>
      <vt:variant>
        <vt:i4>12</vt:i4>
      </vt:variant>
    </vt:vector>
  </HeadingPairs>
  <TitlesOfParts>
    <vt:vector size="12" baseType="lpstr">
      <vt:lpstr>Index</vt:lpstr>
      <vt:lpstr>Assumption</vt:lpstr>
      <vt:lpstr>Historical</vt:lpstr>
      <vt:lpstr>Model</vt:lpstr>
      <vt:lpstr>Scenario</vt:lpstr>
      <vt:lpstr>Ratio Analysis</vt:lpstr>
      <vt:lpstr>Comps</vt:lpstr>
      <vt:lpstr>Comps_data</vt:lpstr>
      <vt:lpstr>Market_data</vt:lpstr>
      <vt:lpstr>WACC</vt:lpstr>
      <vt:lpstr>Beta</vt:lpstr>
      <vt:lpstr>Summary</vt:lpstr>
    </vt:vector>
  </TitlesOfParts>
  <Company>Microsoft</Company>
  <LinksUpToDate>false</LinksUpToDate>
  <SharedDoc>false</SharedDoc>
  <HyperlinksChanged>false</HyperlinksChanged>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APOORVA</dc:creator>
  <cp:lastModifiedBy>APOORVA</cp:lastModifiedBy>
  <dcterms:created xsi:type="dcterms:W3CDTF">2026-02-10T08:30:32Z</dcterms:created>
  <dcterms:modified xsi:type="dcterms:W3CDTF">2026-06-09T05:56:47Z</dcterms:modified>
</cp:coreProperties>
</file>